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us\Documents\GitHub\Excel-WordSearch\"/>
    </mc:Choice>
  </mc:AlternateContent>
  <bookViews>
    <workbookView showHorizontalScroll="0" showVerticalScroll="0" showSheetTabs="0" xWindow="930" yWindow="0" windowWidth="18270" windowHeight="11715" tabRatio="551" activeTab="1"/>
  </bookViews>
  <sheets>
    <sheet name="Words" sheetId="1" r:id="rId1"/>
    <sheet name="Options" sheetId="2" r:id="rId2"/>
    <sheet name="Table" sheetId="3" r:id="rId3"/>
    <sheet name="Results" sheetId="4" r:id="rId4"/>
  </sheets>
  <functionGroups builtInGroupCount="18"/>
  <definedNames>
    <definedName name="listWords">Words!$A$1:$Y$21</definedName>
    <definedName name="listWordsCase">Words!$A$27:$A$28</definedName>
    <definedName name="listWordsHeaders">Words!$A$1:$L$1</definedName>
    <definedName name="rngOptionsCase">Options!$E$11</definedName>
    <definedName name="rngOptionsSize">Options!$F$7</definedName>
    <definedName name="rngOptionsWordList">Options!$E$9</definedName>
    <definedName name="rngTableGrid">Table!$B$2:$AE$31</definedName>
    <definedName name="rngTableWords">Table!$AG$2:$AG$21</definedName>
    <definedName name="rngWordsCase">Words!$B$28</definedName>
    <definedName name="rngWordsCheckBox1">Words!$F$27</definedName>
    <definedName name="rngWordsListID">Words!$B$27</definedName>
    <definedName name="Z_2663DDA2_7708_4CC5_8C99_40E6CC122B10_.wvu.Cols" localSheetId="1" hidden="1">Options!$J:$XFD</definedName>
    <definedName name="Z_2663DDA2_7708_4CC5_8C99_40E6CC122B10_.wvu.Cols" localSheetId="3" hidden="1">Results!$K:$XFD</definedName>
    <definedName name="Z_2663DDA2_7708_4CC5_8C99_40E6CC122B10_.wvu.Cols" localSheetId="2" hidden="1">Table!$V:$AE,Table!$BA:$XFD</definedName>
    <definedName name="Z_2663DDA2_7708_4CC5_8C99_40E6CC122B10_.wvu.Cols" localSheetId="0" hidden="1">Words!$Z:$XFD</definedName>
    <definedName name="Z_2663DDA2_7708_4CC5_8C99_40E6CC122B10_.wvu.Rows" localSheetId="1" hidden="1">Options!$34:$1048576,Options!$16:$33</definedName>
    <definedName name="Z_2663DDA2_7708_4CC5_8C99_40E6CC122B10_.wvu.Rows" localSheetId="2" hidden="1">Table!$51:$1048576,Table!$22:$31,Table!$33:$50</definedName>
    <definedName name="Z_2663DDA2_7708_4CC5_8C99_40E6CC122B10_.wvu.Rows" localSheetId="0" hidden="1">Words!$31:$1048576,Words!$29:$30</definedName>
  </definedNames>
  <calcPr calcId="152511" calcOnSave="0"/>
  <customWorkbookViews>
    <customWorkbookView name="asus - Personal View" guid="{2663DDA2-7708-4CC5-8C99-40E6CC122B10}" mergeInterval="0" personalView="1" maximized="1" showHorizontalScroll="0" showVerticalScroll="0" showSheetTabs="0" xWindow="-4" yWindow="-4" windowWidth="1288" windowHeight="764" tabRatio="551" activeSheetId="3"/>
  </customWorkbookViews>
</workbook>
</file>

<file path=xl/calcChain.xml><?xml version="1.0" encoding="utf-8"?>
<calcChain xmlns="http://schemas.openxmlformats.org/spreadsheetml/2006/main">
  <c r="B28" i="1" l="1"/>
  <c r="B27" i="1" l="1"/>
</calcChain>
</file>

<file path=xl/comments1.xml><?xml version="1.0" encoding="utf-8"?>
<comments xmlns="http://schemas.openxmlformats.org/spreadsheetml/2006/main">
  <authors>
    <author>asus</author>
  </authors>
  <commentList>
    <comment ref="F7" authorId="0" shapeId="0">
      <text>
        <r>
          <rPr>
            <sz val="8"/>
            <color indexed="81"/>
            <rFont val="Tahoma"/>
            <family val="2"/>
            <charset val="186"/>
          </rPr>
          <t xml:space="preserve">Koks bus žaidimo lentelės dydis.
Rekomenduojamas dydis </t>
        </r>
        <r>
          <rPr>
            <b/>
            <sz val="8"/>
            <color indexed="81"/>
            <rFont val="Tahoma"/>
            <family val="2"/>
            <charset val="186"/>
          </rPr>
          <t>20-30</t>
        </r>
        <r>
          <rPr>
            <sz val="8"/>
            <color indexed="81"/>
            <rFont val="Tahoma"/>
            <family val="2"/>
            <charset val="186"/>
          </rPr>
          <t>.</t>
        </r>
      </text>
    </comment>
    <comment ref="E9" authorId="0" shapeId="0">
      <text>
        <r>
          <rPr>
            <sz val="8"/>
            <color indexed="81"/>
            <rFont val="Tahoma"/>
            <family val="2"/>
            <charset val="186"/>
          </rPr>
          <t>Žodžių kategorija kuris bus įkelta į žaidimą.</t>
        </r>
      </text>
    </comment>
    <comment ref="E11" authorId="0" shapeId="0">
      <text>
        <r>
          <rPr>
            <b/>
            <sz val="8"/>
            <color indexed="81"/>
            <rFont val="Tahoma"/>
            <family val="2"/>
            <charset val="186"/>
          </rPr>
          <t>Didžiosios</t>
        </r>
        <r>
          <rPr>
            <sz val="8"/>
            <color indexed="81"/>
            <rFont val="Tahoma"/>
            <family val="2"/>
            <charset val="186"/>
          </rPr>
          <t xml:space="preserve"> ar </t>
        </r>
        <r>
          <rPr>
            <b/>
            <sz val="8"/>
            <color indexed="81"/>
            <rFont val="Tahoma"/>
            <family val="2"/>
            <charset val="186"/>
          </rPr>
          <t>mažosios</t>
        </r>
        <r>
          <rPr>
            <sz val="8"/>
            <color indexed="81"/>
            <rFont val="Tahoma"/>
            <family val="2"/>
            <charset val="186"/>
          </rPr>
          <t xml:space="preserve"> raidės bus atvaizduojama raidžių lentelėj.</t>
        </r>
      </text>
    </comment>
  </commentList>
</comments>
</file>

<file path=xl/sharedStrings.xml><?xml version="1.0" encoding="utf-8"?>
<sst xmlns="http://schemas.openxmlformats.org/spreadsheetml/2006/main" count="308" uniqueCount="281">
  <si>
    <t>IT terminai</t>
  </si>
  <si>
    <t>Šalys</t>
  </si>
  <si>
    <t>Miestai</t>
  </si>
  <si>
    <t>INFORMATIKA</t>
  </si>
  <si>
    <t>VILNIUS</t>
  </si>
  <si>
    <t>KAUNAS</t>
  </si>
  <si>
    <t>KLAIPĖDA</t>
  </si>
  <si>
    <t>ŠIAULIAI</t>
  </si>
  <si>
    <t>PANEVĖŽYS</t>
  </si>
  <si>
    <t>ALYTUS</t>
  </si>
  <si>
    <t>MARIJAMPOLĖ</t>
  </si>
  <si>
    <t>MAŽEIKIAI</t>
  </si>
  <si>
    <t>JONAVA</t>
  </si>
  <si>
    <t>UTENA</t>
  </si>
  <si>
    <t>KĖDAINIAI</t>
  </si>
  <si>
    <t>TELŠIAI</t>
  </si>
  <si>
    <t>VISAGINAS</t>
  </si>
  <si>
    <t>TAURAGĖ</t>
  </si>
  <si>
    <t>UKMERGĖ</t>
  </si>
  <si>
    <t>PLUNGĖ</t>
  </si>
  <si>
    <t>KRETINGA</t>
  </si>
  <si>
    <t>ŠILUTĖ</t>
  </si>
  <si>
    <t>RADVILIŠKIS</t>
  </si>
  <si>
    <t>PALANGA</t>
  </si>
  <si>
    <t>LIETUVA</t>
  </si>
  <si>
    <t>KANADA</t>
  </si>
  <si>
    <t>AIRIJA</t>
  </si>
  <si>
    <t>INDIJA</t>
  </si>
  <si>
    <t>KINIJA</t>
  </si>
  <si>
    <t>PRANCŪZIJA</t>
  </si>
  <si>
    <t>NORVEGIJA</t>
  </si>
  <si>
    <t>ISPANIJA</t>
  </si>
  <si>
    <t>LENKIJA</t>
  </si>
  <si>
    <t>LATVIJA</t>
  </si>
  <si>
    <t>ČEKIJA</t>
  </si>
  <si>
    <t>IRANAS</t>
  </si>
  <si>
    <t>RUMUNIJA</t>
  </si>
  <si>
    <t>BULGARIJA</t>
  </si>
  <si>
    <t>BELGIJA</t>
  </si>
  <si>
    <t>ŠVEDIJA</t>
  </si>
  <si>
    <t>ZAMBIJA</t>
  </si>
  <si>
    <t>EGIPTAS</t>
  </si>
  <si>
    <t>TURKMĖNIJA</t>
  </si>
  <si>
    <t>TINKLAS</t>
  </si>
  <si>
    <t>SĄSAJA</t>
  </si>
  <si>
    <t>DUOMENYS</t>
  </si>
  <si>
    <t>PROCESAS</t>
  </si>
  <si>
    <t>REKURSIJA</t>
  </si>
  <si>
    <t>ĮVESTIS</t>
  </si>
  <si>
    <t>BAITAS</t>
  </si>
  <si>
    <t>TERMINALAS</t>
  </si>
  <si>
    <t>ROBOTIKA</t>
  </si>
  <si>
    <t>DUOMBAZĖ</t>
  </si>
  <si>
    <t>EMULIAVIMAS</t>
  </si>
  <si>
    <t>SUDERINAMUMAS</t>
  </si>
  <si>
    <t>VIDEOKOPIJA</t>
  </si>
  <si>
    <t>ALGORITMAS</t>
  </si>
  <si>
    <t>SRAUTAS</t>
  </si>
  <si>
    <t>PIRATAVIMAS</t>
  </si>
  <si>
    <t>ĮRENGINYS</t>
  </si>
  <si>
    <t>IŠVESTIS</t>
  </si>
  <si>
    <t>ATMINTIS</t>
  </si>
  <si>
    <t>Sportas</t>
  </si>
  <si>
    <t>GIMNASTIKA</t>
  </si>
  <si>
    <t>HŪPINGAS</t>
  </si>
  <si>
    <t>PARKŪRAS</t>
  </si>
  <si>
    <t>SLIDINĖJIMAS</t>
  </si>
  <si>
    <t>BIATLONAS</t>
  </si>
  <si>
    <t>TRIATLONAS</t>
  </si>
  <si>
    <t>PENKIAKOVĖ</t>
  </si>
  <si>
    <t>AEROBIKA</t>
  </si>
  <si>
    <t>TRIŠUOLIS</t>
  </si>
  <si>
    <t>MARATONAS</t>
  </si>
  <si>
    <t>ŠACHMATAI</t>
  </si>
  <si>
    <t>KULTŪRIZMAS</t>
  </si>
  <si>
    <t>FITNESAS</t>
  </si>
  <si>
    <t>FUTBOLAS</t>
  </si>
  <si>
    <t>KREPŠINIS</t>
  </si>
  <si>
    <t>RANKINIS</t>
  </si>
  <si>
    <t>TINKLINIS</t>
  </si>
  <si>
    <t>VANDENSVYDIS</t>
  </si>
  <si>
    <t>BOBSLĖJUS</t>
  </si>
  <si>
    <t>SKELETONAS</t>
  </si>
  <si>
    <t>Daržovės</t>
  </si>
  <si>
    <t>TOPINAMBAS</t>
  </si>
  <si>
    <t>RABARBARAS</t>
  </si>
  <si>
    <t>KOPŪSTAS</t>
  </si>
  <si>
    <t>ČESNAKAS</t>
  </si>
  <si>
    <t>BUROKĖLIS</t>
  </si>
  <si>
    <t>SVOGŪNAS</t>
  </si>
  <si>
    <t>PASTARNOKAS</t>
  </si>
  <si>
    <t>RIDIKAS</t>
  </si>
  <si>
    <t>SALIERAI</t>
  </si>
  <si>
    <t>ŠPINATAI</t>
  </si>
  <si>
    <t>POMIDORAS</t>
  </si>
  <si>
    <t>BAKLAŽANAS</t>
  </si>
  <si>
    <t>PATISONAS</t>
  </si>
  <si>
    <t>MOLIŪGAS</t>
  </si>
  <si>
    <t>CUKINIJA</t>
  </si>
  <si>
    <t>AGURKAS</t>
  </si>
  <si>
    <t>PUPELĖ</t>
  </si>
  <si>
    <t>BULVĖ</t>
  </si>
  <si>
    <t>ŽIRNIS</t>
  </si>
  <si>
    <t>KUKURŪZAI</t>
  </si>
  <si>
    <t>Vaisiai</t>
  </si>
  <si>
    <t>AGRASTAS</t>
  </si>
  <si>
    <t>AGUROTIS</t>
  </si>
  <si>
    <t>BRAŠKĖ</t>
  </si>
  <si>
    <t>ERŠKĖTIS</t>
  </si>
  <si>
    <t>GERVUOGĖ</t>
  </si>
  <si>
    <t>KRIAUŠĖ</t>
  </si>
  <si>
    <t>RIEŠUTAS</t>
  </si>
  <si>
    <t>MĖLYNĖ</t>
  </si>
  <si>
    <t>MELIONAS</t>
  </si>
  <si>
    <t>OBUOLYS</t>
  </si>
  <si>
    <t>PAPRIKA</t>
  </si>
  <si>
    <t>SERBENTAS</t>
  </si>
  <si>
    <t>SVARAINIS</t>
  </si>
  <si>
    <t>TREŠNĖ</t>
  </si>
  <si>
    <t>VYNUOGĖ</t>
  </si>
  <si>
    <t>VYŠNIA</t>
  </si>
  <si>
    <t>ŽEMUOGĖ</t>
  </si>
  <si>
    <t>ŠALTALANKIS</t>
  </si>
  <si>
    <t>AGROVERSLAS</t>
  </si>
  <si>
    <t>AKCIJA</t>
  </si>
  <si>
    <t>SKURDAS</t>
  </si>
  <si>
    <t>ATASKAITA</t>
  </si>
  <si>
    <t>LAIKOTARPIS</t>
  </si>
  <si>
    <t>LĖŠOS</t>
  </si>
  <si>
    <t>LIKVIDUMAS</t>
  </si>
  <si>
    <t>RINKODARA</t>
  </si>
  <si>
    <t>INVESTICIJA</t>
  </si>
  <si>
    <t>UŽDARBIS</t>
  </si>
  <si>
    <t>EKONOMIKA</t>
  </si>
  <si>
    <t>KOLEKTYVAS</t>
  </si>
  <si>
    <t>PALŪKANOS</t>
  </si>
  <si>
    <t>EKVIVALENTAS</t>
  </si>
  <si>
    <t>NUOSAVYBĖ</t>
  </si>
  <si>
    <t>KAPITALAS</t>
  </si>
  <si>
    <t>DIVIDENTAI</t>
  </si>
  <si>
    <t>RECESIJA</t>
  </si>
  <si>
    <t>EMISIJA</t>
  </si>
  <si>
    <t>EKSPORTAS</t>
  </si>
  <si>
    <t>LAIDININKAS</t>
  </si>
  <si>
    <t>IZOTOPAS</t>
  </si>
  <si>
    <t>MAGNETAS</t>
  </si>
  <si>
    <t>AKUSTIKA</t>
  </si>
  <si>
    <t>SPEKTRAS</t>
  </si>
  <si>
    <t>SPINDULIAI</t>
  </si>
  <si>
    <t>DIFERENCIALAS</t>
  </si>
  <si>
    <t>VAKUUMAS</t>
  </si>
  <si>
    <t>LABORATORIJA</t>
  </si>
  <si>
    <t>AMPLITUDĖ</t>
  </si>
  <si>
    <t>RENTGENAS</t>
  </si>
  <si>
    <t>APKROVA</t>
  </si>
  <si>
    <t>ASTROFIZIKA</t>
  </si>
  <si>
    <t>RADIOAKTYVUMAS</t>
  </si>
  <si>
    <t>BAROMETRAS</t>
  </si>
  <si>
    <t>POLIARIZACIJA</t>
  </si>
  <si>
    <t>AERODINAMIKA</t>
  </si>
  <si>
    <t>PAGREITIS</t>
  </si>
  <si>
    <t>KONDENSATORIUS</t>
  </si>
  <si>
    <t>FLOURESCENCIJA</t>
  </si>
  <si>
    <t>ISDP13</t>
  </si>
  <si>
    <t>ADIKLIS</t>
  </si>
  <si>
    <t>DANILEVIČIUS</t>
  </si>
  <si>
    <t>IGNATJEV</t>
  </si>
  <si>
    <t>ILČIUKAS</t>
  </si>
  <si>
    <t>JOCYS</t>
  </si>
  <si>
    <t>PRANCKŪNAS</t>
  </si>
  <si>
    <t>KAIRYS</t>
  </si>
  <si>
    <t>KANIŠAUSKAS</t>
  </si>
  <si>
    <t>KAZLAUSKAS</t>
  </si>
  <si>
    <t>KLIMOVA</t>
  </si>
  <si>
    <t>KUZMIK</t>
  </si>
  <si>
    <t>MIKANTAVIČIUS</t>
  </si>
  <si>
    <t>SIMONAITIS</t>
  </si>
  <si>
    <t>SYROMUKOV</t>
  </si>
  <si>
    <t>SULTANOV</t>
  </si>
  <si>
    <t>ŠRIUBĖNAS</t>
  </si>
  <si>
    <t>VITKEVIČIUS</t>
  </si>
  <si>
    <t>ZABOLEVIČIUS</t>
  </si>
  <si>
    <t>ZAPOLSKIS</t>
  </si>
  <si>
    <t>LAPINSKAS</t>
  </si>
  <si>
    <t>Žodžių išbraukymas</t>
  </si>
  <si>
    <t>Lentelės dydis</t>
  </si>
  <si>
    <t>Žodžių sąrašas</t>
  </si>
  <si>
    <t>Ekonomika</t>
  </si>
  <si>
    <t>Fizika</t>
  </si>
  <si>
    <t>YOUTUBE</t>
  </si>
  <si>
    <t>REDDIT</t>
  </si>
  <si>
    <t>FACEBOOK</t>
  </si>
  <si>
    <t>YAHOO</t>
  </si>
  <si>
    <t>GOOGLE</t>
  </si>
  <si>
    <t>APPLE</t>
  </si>
  <si>
    <t>MCDONALDS</t>
  </si>
  <si>
    <t>MICROSOFT</t>
  </si>
  <si>
    <t>INTEL</t>
  </si>
  <si>
    <t>SAMSUNG</t>
  </si>
  <si>
    <t>ORACLE</t>
  </si>
  <si>
    <t>CISCO</t>
  </si>
  <si>
    <t>VERIZON</t>
  </si>
  <si>
    <t>GILLETTE</t>
  </si>
  <si>
    <t>NESCAFE</t>
  </si>
  <si>
    <t>NESTLE</t>
  </si>
  <si>
    <t>NINTENDO</t>
  </si>
  <si>
    <t>MASTERCARD</t>
  </si>
  <si>
    <t>STARBUCKS</t>
  </si>
  <si>
    <t>VOLKSWAGEN</t>
  </si>
  <si>
    <t>DELFI</t>
  </si>
  <si>
    <t>Įmonės LT</t>
  </si>
  <si>
    <t>ZEBRA</t>
  </si>
  <si>
    <t>LESTO</t>
  </si>
  <si>
    <t>EUROVAISTINĖ</t>
  </si>
  <si>
    <t>MAXIMA</t>
  </si>
  <si>
    <t>NOVATURAS</t>
  </si>
  <si>
    <t>FORUMCINEMAS</t>
  </si>
  <si>
    <t>MGBALTIC</t>
  </si>
  <si>
    <t>URMAS</t>
  </si>
  <si>
    <t>APRANGA</t>
  </si>
  <si>
    <t>VIKONDA</t>
  </si>
  <si>
    <t>ERMITAŽAS</t>
  </si>
  <si>
    <t>ŠVYTURYS</t>
  </si>
  <si>
    <t>MALSENA</t>
  </si>
  <si>
    <t>AGOTA</t>
  </si>
  <si>
    <t>VESIGA</t>
  </si>
  <si>
    <t>MANTINGA</t>
  </si>
  <si>
    <t>VYTAUTAS</t>
  </si>
  <si>
    <t>ALITA</t>
  </si>
  <si>
    <t>DAUMANTŲ</t>
  </si>
  <si>
    <t>Įmonės EN</t>
  </si>
  <si>
    <t>DIDŽIOSIOS</t>
  </si>
  <si>
    <t>mažosios</t>
  </si>
  <si>
    <t>Šrifto dydis</t>
  </si>
  <si>
    <t>TURKIJA</t>
  </si>
  <si>
    <t>y</t>
  </si>
  <si>
    <t>x</t>
  </si>
  <si>
    <t>PASCAL</t>
  </si>
  <si>
    <t>DELPHI</t>
  </si>
  <si>
    <t>JAVA</t>
  </si>
  <si>
    <t>ACTIONSCRIPT</t>
  </si>
  <si>
    <t>BASIC</t>
  </si>
  <si>
    <t>FORTRAN</t>
  </si>
  <si>
    <t>HASKELL</t>
  </si>
  <si>
    <t>JAVASCRIPT</t>
  </si>
  <si>
    <t>KRYPTON</t>
  </si>
  <si>
    <t>MATHEMATIKA</t>
  </si>
  <si>
    <t>PYTHON</t>
  </si>
  <si>
    <t>RUBY</t>
  </si>
  <si>
    <t>VBSCRIPT</t>
  </si>
  <si>
    <t>VERILOG</t>
  </si>
  <si>
    <t>PROLOG</t>
  </si>
  <si>
    <t>POWERSHELL</t>
  </si>
  <si>
    <t>MAPLE</t>
  </si>
  <si>
    <t>GROOVY</t>
  </si>
  <si>
    <t>COLDFUSION</t>
  </si>
  <si>
    <t>COBRA</t>
  </si>
  <si>
    <t>Prog. kalbos</t>
  </si>
  <si>
    <t>Žaidimo Nr.</t>
  </si>
  <si>
    <t>Žodžių kategorija</t>
  </si>
  <si>
    <t>Data</t>
  </si>
  <si>
    <t>Laikas (sec)</t>
  </si>
  <si>
    <t>Vardas</t>
  </si>
  <si>
    <t>Didžiosios</t>
  </si>
  <si>
    <t>Panaudota užuominų</t>
  </si>
  <si>
    <t>Alius</t>
  </si>
  <si>
    <t>2014.05.02 17:44:24</t>
  </si>
  <si>
    <t>2014.05.02 17:48:19</t>
  </si>
  <si>
    <t>2014.05.02 17:51:26</t>
  </si>
  <si>
    <t>2014.05.02 22:39:12</t>
  </si>
  <si>
    <t>Lukas</t>
  </si>
  <si>
    <t>2014.05.04 20:56:45</t>
  </si>
  <si>
    <t>2014.05.04 21:03:27</t>
  </si>
  <si>
    <t>2014.05.04 21:07:39</t>
  </si>
  <si>
    <t>&lt;-žodžių sąrašo id</t>
  </si>
  <si>
    <t>&lt;-Šrifto dydis</t>
  </si>
  <si>
    <t>Check Boxas-&gt;</t>
  </si>
  <si>
    <t>direction</t>
  </si>
  <si>
    <t>2014.05.17 22:08:19</t>
  </si>
  <si>
    <r>
      <rPr>
        <b/>
        <sz val="10"/>
        <color theme="1"/>
        <rFont val="Verdana"/>
        <family val="2"/>
        <charset val="186"/>
      </rPr>
      <t>Žaidimo instrukcijos:</t>
    </r>
    <r>
      <rPr>
        <sz val="10"/>
        <color theme="1"/>
        <rFont val="Verdana"/>
        <family val="2"/>
        <charset val="186"/>
      </rPr>
      <t xml:space="preserve">
Žodžiai surašyti </t>
    </r>
    <r>
      <rPr>
        <sz val="10"/>
        <color theme="1"/>
        <rFont val="Courier New"/>
        <family val="3"/>
        <charset val="186"/>
      </rPr>
      <t>↑→↓←</t>
    </r>
    <r>
      <rPr>
        <sz val="10"/>
        <color theme="1"/>
        <rFont val="Verdana"/>
        <family val="2"/>
        <charset val="186"/>
      </rPr>
      <t xml:space="preserve"> kryptimis.
Žodis išbraukiamas jį pažymėjus raidžių lentelėj.
Užuominos duodamos pasirinkus žodį.
Pažiūrėjus atsakymus žaidimas baigiamas.</t>
    </r>
  </si>
  <si>
    <t>Vilniaus Kooperacijos Kolegija
Programavimų pagrindų projektinis darbas
Žmogaus-Kompiuterio projektinis darbas
Autoriai: Alius Sultanovas,
          Paulius Šriubėnas,
          Lukas Vitkevičius.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</si>
</sst>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;@"/>
    <numFmt numFmtId="165" formatCode="[$-F400]h:mm:ss\ AM/PM"/>
  </numFmts>
  <fonts count="14" x14ac:knownFonts="1">
    <font>
      <sz val="11"/>
      <color theme="1"/>
      <name val="Calibri"/>
      <family val="2"/>
      <charset val="186"/>
      <scheme val="minor"/>
    </font>
    <font>
      <sz val="8"/>
      <color indexed="81"/>
      <name val="Tahoma"/>
      <family val="2"/>
      <charset val="186"/>
    </font>
    <font>
      <b/>
      <sz val="8"/>
      <color indexed="81"/>
      <name val="Tahoma"/>
      <family val="2"/>
      <charset val="186"/>
    </font>
    <font>
      <sz val="10"/>
      <name val="Verdana"/>
      <family val="2"/>
      <charset val="186"/>
    </font>
    <font>
      <sz val="11"/>
      <name val="Courier New"/>
      <family val="3"/>
      <charset val="186"/>
    </font>
    <font>
      <sz val="11"/>
      <color theme="1"/>
      <name val="Verdana"/>
      <family val="2"/>
      <charset val="186"/>
    </font>
    <font>
      <b/>
      <sz val="11"/>
      <color theme="1"/>
      <name val="Verdana"/>
      <family val="2"/>
      <charset val="186"/>
    </font>
    <font>
      <sz val="11"/>
      <color theme="1"/>
      <name val="Courier New"/>
      <family val="3"/>
      <charset val="186"/>
    </font>
    <font>
      <sz val="10"/>
      <color theme="1"/>
      <name val="Verdana"/>
      <family val="2"/>
      <charset val="186"/>
    </font>
    <font>
      <b/>
      <sz val="10"/>
      <color theme="1"/>
      <name val="Verdana"/>
      <family val="2"/>
      <charset val="186"/>
    </font>
    <font>
      <b/>
      <sz val="20"/>
      <color theme="1"/>
      <name val="Courier New"/>
      <family val="3"/>
      <charset val="186"/>
    </font>
    <font>
      <sz val="8"/>
      <color theme="1"/>
      <name val="Courier New"/>
      <family val="3"/>
      <charset val="186"/>
    </font>
    <font>
      <sz val="10"/>
      <color theme="1"/>
      <name val="Courier New"/>
      <family val="3"/>
      <charset val="186"/>
    </font>
    <font>
      <sz val="11"/>
      <name val="Verdana"/>
      <family val="2"/>
      <charset val="186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5" fillId="0" borderId="0" xfId="0" applyFont="1"/>
    <xf numFmtId="49" fontId="6" fillId="0" borderId="0" xfId="0" applyNumberFormat="1" applyFont="1" applyFill="1"/>
    <xf numFmtId="49" fontId="6" fillId="0" borderId="0" xfId="0" applyNumberFormat="1" applyFont="1"/>
    <xf numFmtId="49" fontId="5" fillId="0" borderId="0" xfId="0" applyNumberFormat="1" applyFont="1"/>
    <xf numFmtId="49" fontId="5" fillId="0" borderId="0" xfId="0" applyNumberFormat="1" applyFont="1" applyFill="1"/>
    <xf numFmtId="0" fontId="7" fillId="0" borderId="0" xfId="0" applyFont="1" applyFill="1"/>
    <xf numFmtId="0" fontId="7" fillId="0" borderId="1" xfId="0" applyFont="1" applyFill="1" applyBorder="1"/>
    <xf numFmtId="0" fontId="7" fillId="0" borderId="0" xfId="0" applyFont="1" applyFill="1" applyBorder="1"/>
    <xf numFmtId="0" fontId="8" fillId="0" borderId="0" xfId="0" applyFont="1" applyFill="1" applyBorder="1"/>
    <xf numFmtId="0" fontId="7" fillId="0" borderId="0" xfId="0" applyFont="1" applyFill="1" applyProtection="1">
      <protection hidden="1"/>
    </xf>
    <xf numFmtId="0" fontId="7" fillId="0" borderId="3" xfId="0" applyFont="1" applyFill="1" applyBorder="1" applyProtection="1">
      <protection hidden="1"/>
    </xf>
    <xf numFmtId="0" fontId="7" fillId="0" borderId="4" xfId="0" applyFont="1" applyFill="1" applyBorder="1" applyProtection="1">
      <protection hidden="1"/>
    </xf>
    <xf numFmtId="0" fontId="7" fillId="0" borderId="5" xfId="0" applyFont="1" applyFill="1" applyBorder="1" applyProtection="1">
      <protection hidden="1"/>
    </xf>
    <xf numFmtId="0" fontId="7" fillId="0" borderId="6" xfId="0" applyFont="1" applyFill="1" applyBorder="1" applyProtection="1">
      <protection hidden="1"/>
    </xf>
    <xf numFmtId="0" fontId="7" fillId="0" borderId="7" xfId="0" applyFont="1" applyFill="1" applyBorder="1" applyProtection="1">
      <protection hidden="1"/>
    </xf>
    <xf numFmtId="0" fontId="7" fillId="0" borderId="1" xfId="0" applyFont="1" applyFill="1" applyBorder="1" applyProtection="1">
      <protection hidden="1"/>
    </xf>
    <xf numFmtId="0" fontId="7" fillId="0" borderId="8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/>
    <xf numFmtId="0" fontId="8" fillId="0" borderId="5" xfId="0" applyFont="1" applyFill="1" applyBorder="1"/>
    <xf numFmtId="0" fontId="8" fillId="0" borderId="9" xfId="0" applyFont="1" applyFill="1" applyBorder="1"/>
    <xf numFmtId="0" fontId="7" fillId="0" borderId="0" xfId="0" applyFont="1" applyFill="1" applyBorder="1" applyProtection="1"/>
    <xf numFmtId="49" fontId="7" fillId="0" borderId="10" xfId="0" applyNumberFormat="1" applyFont="1" applyFill="1" applyBorder="1" applyAlignment="1" applyProtection="1">
      <alignment horizontal="left" vertical="center"/>
      <protection hidden="1"/>
    </xf>
    <xf numFmtId="49" fontId="7" fillId="0" borderId="10" xfId="0" applyNumberFormat="1" applyFont="1" applyFill="1" applyBorder="1" applyAlignment="1" applyProtection="1">
      <alignment vertical="center"/>
      <protection hidden="1"/>
    </xf>
    <xf numFmtId="0" fontId="8" fillId="0" borderId="0" xfId="0" applyFont="1" applyFill="1" applyProtection="1"/>
    <xf numFmtId="0" fontId="8" fillId="0" borderId="0" xfId="0" applyFont="1" applyFill="1" applyAlignment="1" applyProtection="1"/>
    <xf numFmtId="0" fontId="8" fillId="0" borderId="0" xfId="0" applyFont="1" applyFill="1" applyBorder="1" applyProtection="1"/>
    <xf numFmtId="0" fontId="8" fillId="0" borderId="0" xfId="0" applyFont="1" applyFill="1" applyBorder="1" applyAlignment="1" applyProtection="1"/>
    <xf numFmtId="0" fontId="9" fillId="0" borderId="0" xfId="0" applyFont="1" applyFill="1" applyBorder="1" applyAlignment="1" applyProtection="1">
      <alignment horizontal="center"/>
    </xf>
    <xf numFmtId="0" fontId="8" fillId="0" borderId="3" xfId="0" applyFont="1" applyFill="1" applyBorder="1" applyProtection="1"/>
    <xf numFmtId="0" fontId="8" fillId="0" borderId="5" xfId="0" applyFont="1" applyFill="1" applyBorder="1" applyProtection="1"/>
    <xf numFmtId="0" fontId="8" fillId="0" borderId="6" xfId="0" applyFont="1" applyFill="1" applyBorder="1" applyAlignment="1" applyProtection="1"/>
    <xf numFmtId="0" fontId="8" fillId="0" borderId="1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8" fillId="0" borderId="13" xfId="0" applyFont="1" applyFill="1" applyBorder="1" applyProtection="1">
      <protection locked="0"/>
    </xf>
    <xf numFmtId="0" fontId="7" fillId="0" borderId="1" xfId="0" applyFont="1" applyFill="1" applyBorder="1" applyProtection="1"/>
    <xf numFmtId="49" fontId="7" fillId="0" borderId="10" xfId="0" applyNumberFormat="1" applyFont="1" applyFill="1" applyBorder="1" applyAlignment="1" applyProtection="1">
      <alignment horizontal="left" vertical="center"/>
    </xf>
    <xf numFmtId="1" fontId="7" fillId="0" borderId="16" xfId="0" applyNumberFormat="1" applyFont="1" applyFill="1" applyBorder="1" applyAlignment="1" applyProtection="1">
      <alignment horizontal="center" vertical="center"/>
      <protection locked="0"/>
    </xf>
    <xf numFmtId="1" fontId="7" fillId="0" borderId="16" xfId="0" applyNumberFormat="1" applyFont="1" applyFill="1" applyBorder="1" applyAlignment="1" applyProtection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1" fontId="8" fillId="0" borderId="0" xfId="0" applyNumberFormat="1" applyFont="1" applyFill="1" applyBorder="1" applyAlignment="1">
      <alignment horizontal="center" vertical="center"/>
    </xf>
    <xf numFmtId="49" fontId="8" fillId="0" borderId="0" xfId="0" applyNumberFormat="1" applyFont="1" applyBorder="1" applyAlignment="1">
      <alignment horizontal="center" vertical="center"/>
    </xf>
    <xf numFmtId="22" fontId="8" fillId="0" borderId="0" xfId="0" applyNumberFormat="1" applyFont="1" applyFill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22" fontId="9" fillId="0" borderId="6" xfId="0" applyNumberFormat="1" applyFont="1" applyFill="1" applyBorder="1" applyAlignment="1">
      <alignment horizontal="center" vertical="center"/>
    </xf>
    <xf numFmtId="1" fontId="9" fillId="0" borderId="6" xfId="0" applyNumberFormat="1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164" fontId="9" fillId="0" borderId="6" xfId="0" applyNumberFormat="1" applyFont="1" applyBorder="1" applyAlignment="1">
      <alignment horizontal="center" vertical="center" wrapText="1"/>
    </xf>
    <xf numFmtId="0" fontId="7" fillId="0" borderId="0" xfId="0" applyFont="1" applyFill="1" applyBorder="1" applyAlignment="1" applyProtection="1"/>
    <xf numFmtId="49" fontId="7" fillId="0" borderId="0" xfId="0" applyNumberFormat="1" applyFont="1" applyFill="1" applyBorder="1" applyAlignment="1" applyProtection="1">
      <alignment horizontal="left" vertical="center"/>
    </xf>
    <xf numFmtId="49" fontId="12" fillId="0" borderId="0" xfId="0" applyNumberFormat="1" applyFont="1" applyFill="1" applyBorder="1" applyAlignment="1" applyProtection="1">
      <alignment horizontal="center" vertical="center"/>
    </xf>
    <xf numFmtId="49" fontId="7" fillId="0" borderId="0" xfId="0" applyNumberFormat="1" applyFont="1" applyFill="1" applyBorder="1" applyAlignment="1" applyProtection="1">
      <alignment vertical="center"/>
    </xf>
    <xf numFmtId="0" fontId="8" fillId="0" borderId="0" xfId="0" applyNumberFormat="1" applyFont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8" fillId="0" borderId="0" xfId="0" applyFont="1" applyFill="1" applyAlignment="1" applyProtection="1">
      <alignment horizontal="center" vertical="center"/>
      <protection locked="0"/>
    </xf>
    <xf numFmtId="0" fontId="5" fillId="0" borderId="0" xfId="0" applyNumberFormat="1" applyFont="1"/>
    <xf numFmtId="0" fontId="13" fillId="0" borderId="0" xfId="0" applyNumberFormat="1" applyFont="1"/>
    <xf numFmtId="0" fontId="8" fillId="0" borderId="0" xfId="0" applyNumberFormat="1" applyFont="1" applyFill="1" applyBorder="1" applyAlignment="1">
      <alignment horizontal="center" vertical="center"/>
    </xf>
    <xf numFmtId="165" fontId="8" fillId="0" borderId="0" xfId="0" applyNumberFormat="1" applyFont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top" wrapText="1"/>
    </xf>
    <xf numFmtId="0" fontId="10" fillId="0" borderId="14" xfId="0" applyFont="1" applyFill="1" applyBorder="1" applyAlignment="1" applyProtection="1">
      <alignment horizontal="center" vertical="center" wrapText="1"/>
      <protection hidden="1"/>
    </xf>
    <xf numFmtId="0" fontId="11" fillId="0" borderId="5" xfId="0" applyFont="1" applyFill="1" applyBorder="1" applyAlignment="1" applyProtection="1">
      <alignment horizontal="left" wrapText="1"/>
      <protection hidden="1"/>
    </xf>
    <xf numFmtId="0" fontId="11" fillId="0" borderId="15" xfId="0" applyFont="1" applyFill="1" applyBorder="1" applyAlignment="1" applyProtection="1">
      <alignment horizontal="left" wrapText="1"/>
      <protection hidden="1"/>
    </xf>
    <xf numFmtId="49" fontId="12" fillId="0" borderId="10" xfId="0" applyNumberFormat="1" applyFont="1" applyFill="1" applyBorder="1" applyAlignment="1" applyProtection="1">
      <alignment horizontal="center" vertical="center"/>
      <protection locked="0"/>
    </xf>
    <xf numFmtId="49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7" fillId="0" borderId="6" xfId="0" applyFont="1" applyFill="1" applyBorder="1" applyAlignment="1" applyProtection="1">
      <alignment horizontal="center"/>
      <protection locked="0" hidden="1"/>
    </xf>
    <xf numFmtId="0" fontId="8" fillId="0" borderId="0" xfId="0" applyFont="1" applyFill="1" applyBorder="1" applyAlignment="1" applyProtection="1">
      <alignment horizontal="left" vertical="top" wrapText="1"/>
    </xf>
    <xf numFmtId="0" fontId="8" fillId="0" borderId="6" xfId="0" applyFont="1" applyFill="1" applyBorder="1" applyAlignment="1" applyProtection="1">
      <alignment horizontal="center" vertical="top"/>
    </xf>
    <xf numFmtId="0" fontId="8" fillId="2" borderId="6" xfId="0" applyFont="1" applyFill="1" applyBorder="1" applyAlignment="1" applyProtection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219075</xdr:colOff>
      <xdr:row>4</xdr:row>
      <xdr:rowOff>13357</xdr:rowOff>
    </xdr:from>
    <xdr:ext cx="3268542" cy="491468"/>
    <xdr:sp macro="[0]!cmdStartGame_Click" textlink="">
      <xdr:nvSpPr>
        <xdr:cNvPr id="2" name="Rectangle 1"/>
        <xdr:cNvSpPr/>
      </xdr:nvSpPr>
      <xdr:spPr>
        <a:xfrm>
          <a:off x="3157171" y="1280915"/>
          <a:ext cx="3268542" cy="49146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lt-LT" sz="18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Pradėti žaidimą</a:t>
          </a:r>
          <a:endParaRPr lang="en-US" sz="18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  <xdr:oneCellAnchor>
    <xdr:from>
      <xdr:col>3</xdr:col>
      <xdr:colOff>9525</xdr:colOff>
      <xdr:row>12</xdr:row>
      <xdr:rowOff>11905</xdr:rowOff>
    </xdr:from>
    <xdr:ext cx="3258284" cy="180975"/>
    <xdr:sp macro="[0]!cmdResults_Click" textlink="">
      <xdr:nvSpPr>
        <xdr:cNvPr id="4" name="Rectangle 3"/>
        <xdr:cNvSpPr/>
      </xdr:nvSpPr>
      <xdr:spPr>
        <a:xfrm>
          <a:off x="3167429" y="3118520"/>
          <a:ext cx="3258284" cy="1809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en-US" sz="12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Rezultatai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6</xdr:row>
          <xdr:rowOff>9525</xdr:rowOff>
        </xdr:from>
        <xdr:to>
          <xdr:col>5</xdr:col>
          <xdr:colOff>9525</xdr:colOff>
          <xdr:row>7</xdr:row>
          <xdr:rowOff>0</xdr:rowOff>
        </xdr:to>
        <xdr:sp macro="" textlink="">
          <xdr:nvSpPr>
            <xdr:cNvPr id="2503" name="ScrollBar1" hidden="1">
              <a:extLst>
                <a:ext uri="{63B3BB69-23CF-44E3-9099-C40C66FF867C}">
                  <a14:compatExt spid="_x0000_s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180974</xdr:colOff>
      <xdr:row>1</xdr:row>
      <xdr:rowOff>1</xdr:rowOff>
    </xdr:from>
    <xdr:ext cx="1266825" cy="457200"/>
    <xdr:sp macro="[0]!cmdReset_Click" textlink="">
      <xdr:nvSpPr>
        <xdr:cNvPr id="2" name="Rectangle 1"/>
        <xdr:cNvSpPr/>
      </xdr:nvSpPr>
      <xdr:spPr>
        <a:xfrm>
          <a:off x="5419724" y="152401"/>
          <a:ext cx="1266825" cy="4572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lt-LT" sz="12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Žaisti</a:t>
          </a:r>
          <a:r>
            <a:rPr lang="lt-LT" sz="1200" baseline="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 iš naujo</a:t>
          </a:r>
          <a:endParaRPr lang="en-US" sz="12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  <xdr:oneCellAnchor>
    <xdr:from>
      <xdr:col>33</xdr:col>
      <xdr:colOff>180974</xdr:colOff>
      <xdr:row>5</xdr:row>
      <xdr:rowOff>1</xdr:rowOff>
    </xdr:from>
    <xdr:ext cx="1266825" cy="304799"/>
    <xdr:sp macro="[0]!cmdHint_Click" textlink="">
      <xdr:nvSpPr>
        <xdr:cNvPr id="4" name="Rectangle 3"/>
        <xdr:cNvSpPr/>
      </xdr:nvSpPr>
      <xdr:spPr>
        <a:xfrm>
          <a:off x="5419724" y="762001"/>
          <a:ext cx="1266825" cy="30479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lt-LT" sz="10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Duoti</a:t>
          </a:r>
          <a:r>
            <a:rPr lang="lt-LT" sz="1000" baseline="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 užuominą</a:t>
          </a:r>
          <a:endParaRPr lang="en-US" sz="10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7</xdr:row>
          <xdr:rowOff>123825</xdr:rowOff>
        </xdr:from>
        <xdr:to>
          <xdr:col>41</xdr:col>
          <xdr:colOff>104775</xdr:colOff>
          <xdr:row>9</xdr:row>
          <xdr:rowOff>66675</xdr:rowOff>
        </xdr:to>
        <xdr:sp macro="" textlink="">
          <xdr:nvSpPr>
            <xdr:cNvPr id="3077" name="CheckBox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9524</xdr:colOff>
      <xdr:row>0</xdr:row>
      <xdr:rowOff>200025</xdr:rowOff>
    </xdr:from>
    <xdr:ext cx="3629025" cy="491468"/>
    <xdr:sp macro="[0]!cmdGoBack_Click" textlink="">
      <xdr:nvSpPr>
        <xdr:cNvPr id="4" name="Rectangle 3"/>
        <xdr:cNvSpPr/>
      </xdr:nvSpPr>
      <xdr:spPr>
        <a:xfrm>
          <a:off x="2486024" y="200025"/>
          <a:ext cx="3629025" cy="49146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en-US" sz="18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Gr</a:t>
          </a:r>
          <a:r>
            <a:rPr lang="lt-LT" sz="18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įžti</a:t>
          </a:r>
          <a:r>
            <a:rPr lang="lt-LT" sz="1800" baseline="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 į pradžią</a:t>
          </a:r>
          <a:endParaRPr lang="en-US" sz="18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Words"/>
  <dimension ref="A1:AM30"/>
  <sheetViews>
    <sheetView zoomScale="70" zoomScaleNormal="70" workbookViewId="0">
      <selection activeCell="B28" sqref="B28"/>
    </sheetView>
  </sheetViews>
  <sheetFormatPr defaultColWidth="0" defaultRowHeight="14.25" zeroHeight="1" x14ac:dyDescent="0.2"/>
  <cols>
    <col min="1" max="1" width="18.28515625" style="1" bestFit="1" customWidth="1"/>
    <col min="2" max="2" width="16.5703125" style="1" bestFit="1" customWidth="1"/>
    <col min="3" max="3" width="15" style="1" bestFit="1" customWidth="1"/>
    <col min="4" max="4" width="20.7109375" style="1" bestFit="1" customWidth="1"/>
    <col min="5" max="5" width="15.85546875" style="1" bestFit="1" customWidth="1"/>
    <col min="6" max="7" width="17.28515625" style="1" bestFit="1" customWidth="1"/>
    <col min="8" max="8" width="21.85546875" style="1" bestFit="1" customWidth="1"/>
    <col min="9" max="9" width="18.7109375" style="1" bestFit="1" customWidth="1"/>
    <col min="10" max="10" width="15.5703125" style="1" bestFit="1" customWidth="1"/>
    <col min="11" max="11" width="19.5703125" style="1" bestFit="1" customWidth="1"/>
    <col min="12" max="12" width="18" style="1" bestFit="1" customWidth="1"/>
    <col min="13" max="13" width="16.7109375" style="1" bestFit="1" customWidth="1"/>
    <col min="14" max="25" width="9.140625" style="1" customWidth="1"/>
    <col min="26" max="16384" width="0" style="1" hidden="1"/>
  </cols>
  <sheetData>
    <row r="1" spans="1:39" s="4" customFormat="1" x14ac:dyDescent="0.2">
      <c r="A1" s="2" t="s">
        <v>62</v>
      </c>
      <c r="B1" s="3" t="s">
        <v>2</v>
      </c>
      <c r="C1" s="3" t="s">
        <v>1</v>
      </c>
      <c r="D1" s="2" t="s">
        <v>0</v>
      </c>
      <c r="E1" s="2" t="s">
        <v>104</v>
      </c>
      <c r="F1" s="2" t="s">
        <v>83</v>
      </c>
      <c r="G1" s="3" t="s">
        <v>187</v>
      </c>
      <c r="H1" s="3" t="s">
        <v>188</v>
      </c>
      <c r="I1" s="3" t="s">
        <v>163</v>
      </c>
      <c r="J1" s="3" t="s">
        <v>230</v>
      </c>
      <c r="K1" s="3" t="s">
        <v>210</v>
      </c>
      <c r="L1" s="3" t="s">
        <v>257</v>
      </c>
      <c r="M1" s="3"/>
    </row>
    <row r="2" spans="1:39" s="4" customFormat="1" x14ac:dyDescent="0.2">
      <c r="A2" s="5" t="s">
        <v>70</v>
      </c>
      <c r="B2" s="4" t="s">
        <v>9</v>
      </c>
      <c r="C2" s="4" t="s">
        <v>26</v>
      </c>
      <c r="D2" s="4" t="s">
        <v>56</v>
      </c>
      <c r="E2" s="5" t="s">
        <v>105</v>
      </c>
      <c r="F2" s="5" t="s">
        <v>99</v>
      </c>
      <c r="G2" s="4" t="s">
        <v>123</v>
      </c>
      <c r="H2" s="4" t="s">
        <v>159</v>
      </c>
      <c r="I2" s="4" t="s">
        <v>164</v>
      </c>
      <c r="J2" s="4" t="s">
        <v>194</v>
      </c>
      <c r="K2" s="4" t="s">
        <v>224</v>
      </c>
      <c r="L2" s="4" t="s">
        <v>240</v>
      </c>
      <c r="AM2" s="4">
        <v>32616.9140625</v>
      </c>
    </row>
    <row r="3" spans="1:39" s="4" customFormat="1" x14ac:dyDescent="0.2">
      <c r="A3" s="5" t="s">
        <v>67</v>
      </c>
      <c r="B3" s="4" t="s">
        <v>12</v>
      </c>
      <c r="C3" s="4" t="s">
        <v>38</v>
      </c>
      <c r="D3" s="4" t="s">
        <v>61</v>
      </c>
      <c r="E3" s="5" t="s">
        <v>99</v>
      </c>
      <c r="F3" s="5" t="s">
        <v>95</v>
      </c>
      <c r="G3" s="4" t="s">
        <v>124</v>
      </c>
      <c r="H3" s="4" t="s">
        <v>146</v>
      </c>
      <c r="I3" s="4" t="s">
        <v>165</v>
      </c>
      <c r="J3" s="4" t="s">
        <v>200</v>
      </c>
      <c r="K3" s="4" t="s">
        <v>228</v>
      </c>
      <c r="L3" s="4" t="s">
        <v>241</v>
      </c>
      <c r="AM3" s="4">
        <v>326169.140625</v>
      </c>
    </row>
    <row r="4" spans="1:39" s="4" customFormat="1" x14ac:dyDescent="0.2">
      <c r="A4" s="5" t="s">
        <v>81</v>
      </c>
      <c r="B4" s="4" t="s">
        <v>5</v>
      </c>
      <c r="C4" s="4" t="s">
        <v>37</v>
      </c>
      <c r="D4" s="4" t="s">
        <v>49</v>
      </c>
      <c r="E4" s="5" t="s">
        <v>106</v>
      </c>
      <c r="F4" s="5" t="s">
        <v>101</v>
      </c>
      <c r="G4" s="4" t="s">
        <v>126</v>
      </c>
      <c r="H4" s="4" t="s">
        <v>152</v>
      </c>
      <c r="I4" s="4" t="s">
        <v>183</v>
      </c>
      <c r="J4" s="4" t="s">
        <v>191</v>
      </c>
      <c r="K4" s="4" t="s">
        <v>219</v>
      </c>
      <c r="L4" s="4" t="s">
        <v>256</v>
      </c>
    </row>
    <row r="5" spans="1:39" s="4" customFormat="1" x14ac:dyDescent="0.2">
      <c r="A5" s="5" t="s">
        <v>75</v>
      </c>
      <c r="B5" s="4" t="s">
        <v>6</v>
      </c>
      <c r="C5" s="4" t="s">
        <v>34</v>
      </c>
      <c r="D5" s="4" t="s">
        <v>52</v>
      </c>
      <c r="E5" s="5" t="s">
        <v>107</v>
      </c>
      <c r="F5" s="5" t="s">
        <v>88</v>
      </c>
      <c r="G5" s="4" t="s">
        <v>139</v>
      </c>
      <c r="H5" s="4" t="s">
        <v>154</v>
      </c>
      <c r="I5" s="4" t="s">
        <v>166</v>
      </c>
      <c r="J5" s="4" t="s">
        <v>202</v>
      </c>
      <c r="K5" s="4" t="s">
        <v>229</v>
      </c>
      <c r="L5" s="4" t="s">
        <v>255</v>
      </c>
    </row>
    <row r="6" spans="1:39" s="4" customFormat="1" x14ac:dyDescent="0.2">
      <c r="A6" s="5" t="s">
        <v>76</v>
      </c>
      <c r="B6" s="4" t="s">
        <v>20</v>
      </c>
      <c r="C6" s="4" t="s">
        <v>41</v>
      </c>
      <c r="D6" s="4" t="s">
        <v>45</v>
      </c>
      <c r="E6" s="5" t="s">
        <v>108</v>
      </c>
      <c r="F6" s="5" t="s">
        <v>98</v>
      </c>
      <c r="G6" s="4" t="s">
        <v>133</v>
      </c>
      <c r="H6" s="4" t="s">
        <v>155</v>
      </c>
      <c r="I6" s="4" t="s">
        <v>167</v>
      </c>
      <c r="J6" s="4" t="s">
        <v>193</v>
      </c>
      <c r="K6" s="4" t="s">
        <v>209</v>
      </c>
      <c r="L6" s="4" t="s">
        <v>238</v>
      </c>
    </row>
    <row r="7" spans="1:39" s="4" customFormat="1" x14ac:dyDescent="0.2">
      <c r="A7" s="5" t="s">
        <v>63</v>
      </c>
      <c r="B7" s="4" t="s">
        <v>14</v>
      </c>
      <c r="C7" s="4" t="s">
        <v>27</v>
      </c>
      <c r="D7" s="4" t="s">
        <v>53</v>
      </c>
      <c r="E7" s="5" t="s">
        <v>109</v>
      </c>
      <c r="F7" s="5" t="s">
        <v>87</v>
      </c>
      <c r="G7" s="4" t="s">
        <v>142</v>
      </c>
      <c r="H7" s="4" t="s">
        <v>157</v>
      </c>
      <c r="I7" s="4" t="s">
        <v>168</v>
      </c>
      <c r="J7" s="4" t="s">
        <v>197</v>
      </c>
      <c r="K7" s="4" t="s">
        <v>221</v>
      </c>
      <c r="L7" s="4" t="s">
        <v>242</v>
      </c>
    </row>
    <row r="8" spans="1:39" s="4" customFormat="1" x14ac:dyDescent="0.2">
      <c r="A8" s="5" t="s">
        <v>64</v>
      </c>
      <c r="B8" s="4" t="s">
        <v>10</v>
      </c>
      <c r="C8" s="4" t="s">
        <v>35</v>
      </c>
      <c r="D8" s="4" t="s">
        <v>3</v>
      </c>
      <c r="E8" s="5" t="s">
        <v>110</v>
      </c>
      <c r="F8" s="5" t="s">
        <v>86</v>
      </c>
      <c r="G8" s="4" t="s">
        <v>136</v>
      </c>
      <c r="H8" s="4" t="s">
        <v>149</v>
      </c>
      <c r="I8" s="4" t="s">
        <v>169</v>
      </c>
      <c r="J8" s="4" t="s">
        <v>192</v>
      </c>
      <c r="K8" s="4" t="s">
        <v>213</v>
      </c>
      <c r="L8" s="4" t="s">
        <v>254</v>
      </c>
    </row>
    <row r="9" spans="1:39" s="4" customFormat="1" x14ac:dyDescent="0.2">
      <c r="A9" s="5" t="s">
        <v>77</v>
      </c>
      <c r="B9" s="4" t="s">
        <v>11</v>
      </c>
      <c r="C9" s="4" t="s">
        <v>31</v>
      </c>
      <c r="D9" s="4" t="s">
        <v>60</v>
      </c>
      <c r="E9" s="5" t="s">
        <v>111</v>
      </c>
      <c r="F9" s="5" t="s">
        <v>103</v>
      </c>
      <c r="G9" s="4" t="s">
        <v>141</v>
      </c>
      <c r="H9" s="4" t="s">
        <v>162</v>
      </c>
      <c r="I9" s="4" t="s">
        <v>170</v>
      </c>
      <c r="J9" s="4" t="s">
        <v>189</v>
      </c>
      <c r="K9" s="4" t="s">
        <v>216</v>
      </c>
      <c r="L9" s="4" t="s">
        <v>243</v>
      </c>
    </row>
    <row r="10" spans="1:39" s="4" customFormat="1" x14ac:dyDescent="0.2">
      <c r="A10" s="5" t="s">
        <v>74</v>
      </c>
      <c r="B10" s="4" t="s">
        <v>23</v>
      </c>
      <c r="C10" s="4" t="s">
        <v>25</v>
      </c>
      <c r="D10" s="4" t="s">
        <v>59</v>
      </c>
      <c r="E10" s="5" t="s">
        <v>112</v>
      </c>
      <c r="F10" s="5" t="s">
        <v>97</v>
      </c>
      <c r="G10" s="4" t="s">
        <v>131</v>
      </c>
      <c r="H10" s="4" t="s">
        <v>144</v>
      </c>
      <c r="I10" s="4" t="s">
        <v>171</v>
      </c>
      <c r="J10" s="4" t="s">
        <v>206</v>
      </c>
      <c r="K10" s="4" t="s">
        <v>212</v>
      </c>
      <c r="L10" s="4" t="s">
        <v>239</v>
      </c>
    </row>
    <row r="11" spans="1:39" s="4" customFormat="1" x14ac:dyDescent="0.2">
      <c r="A11" s="5" t="s">
        <v>72</v>
      </c>
      <c r="B11" s="4" t="s">
        <v>8</v>
      </c>
      <c r="C11" s="4" t="s">
        <v>28</v>
      </c>
      <c r="D11" s="4" t="s">
        <v>48</v>
      </c>
      <c r="E11" s="5" t="s">
        <v>113</v>
      </c>
      <c r="F11" s="5" t="s">
        <v>90</v>
      </c>
      <c r="G11" s="4" t="s">
        <v>138</v>
      </c>
      <c r="H11" s="4" t="s">
        <v>161</v>
      </c>
      <c r="I11" s="4" t="s">
        <v>172</v>
      </c>
      <c r="J11" s="4" t="s">
        <v>195</v>
      </c>
      <c r="K11" s="4" t="s">
        <v>223</v>
      </c>
      <c r="L11" s="4" t="s">
        <v>244</v>
      </c>
    </row>
    <row r="12" spans="1:39" s="4" customFormat="1" x14ac:dyDescent="0.2">
      <c r="A12" s="5" t="s">
        <v>65</v>
      </c>
      <c r="B12" s="4" t="s">
        <v>19</v>
      </c>
      <c r="C12" s="4" t="s">
        <v>33</v>
      </c>
      <c r="D12" s="4" t="s">
        <v>58</v>
      </c>
      <c r="E12" s="5" t="s">
        <v>114</v>
      </c>
      <c r="F12" s="5" t="s">
        <v>96</v>
      </c>
      <c r="G12" s="4" t="s">
        <v>134</v>
      </c>
      <c r="H12" s="4" t="s">
        <v>151</v>
      </c>
      <c r="I12" s="4" t="s">
        <v>173</v>
      </c>
      <c r="J12" s="4" t="s">
        <v>196</v>
      </c>
      <c r="K12" s="4" t="s">
        <v>226</v>
      </c>
      <c r="L12" s="4" t="s">
        <v>245</v>
      </c>
    </row>
    <row r="13" spans="1:39" s="4" customFormat="1" x14ac:dyDescent="0.2">
      <c r="A13" s="5" t="s">
        <v>69</v>
      </c>
      <c r="B13" s="4" t="s">
        <v>22</v>
      </c>
      <c r="C13" s="4" t="s">
        <v>32</v>
      </c>
      <c r="D13" s="4" t="s">
        <v>46</v>
      </c>
      <c r="E13" s="5" t="s">
        <v>115</v>
      </c>
      <c r="F13" s="5" t="s">
        <v>94</v>
      </c>
      <c r="G13" s="4" t="s">
        <v>127</v>
      </c>
      <c r="H13" s="4" t="s">
        <v>143</v>
      </c>
      <c r="I13" s="4" t="s">
        <v>174</v>
      </c>
      <c r="J13" s="4" t="s">
        <v>203</v>
      </c>
      <c r="K13" s="4" t="s">
        <v>214</v>
      </c>
      <c r="L13" s="4" t="s">
        <v>253</v>
      </c>
    </row>
    <row r="14" spans="1:39" s="4" customFormat="1" x14ac:dyDescent="0.2">
      <c r="A14" s="5" t="s">
        <v>78</v>
      </c>
      <c r="B14" s="4" t="s">
        <v>7</v>
      </c>
      <c r="C14" s="4" t="s">
        <v>24</v>
      </c>
      <c r="D14" s="4" t="s">
        <v>47</v>
      </c>
      <c r="E14" s="5" t="s">
        <v>94</v>
      </c>
      <c r="F14" s="5" t="s">
        <v>100</v>
      </c>
      <c r="G14" s="4" t="s">
        <v>129</v>
      </c>
      <c r="H14" s="4" t="s">
        <v>145</v>
      </c>
      <c r="I14" s="4" t="s">
        <v>175</v>
      </c>
      <c r="J14" s="4" t="s">
        <v>204</v>
      </c>
      <c r="K14" s="4" t="s">
        <v>217</v>
      </c>
      <c r="L14" s="4" t="s">
        <v>246</v>
      </c>
    </row>
    <row r="15" spans="1:39" s="4" customFormat="1" x14ac:dyDescent="0.2">
      <c r="A15" s="5" t="s">
        <v>82</v>
      </c>
      <c r="B15" s="4" t="s">
        <v>21</v>
      </c>
      <c r="C15" s="4" t="s">
        <v>30</v>
      </c>
      <c r="D15" s="4" t="s">
        <v>51</v>
      </c>
      <c r="E15" s="5" t="s">
        <v>116</v>
      </c>
      <c r="F15" s="5" t="s">
        <v>85</v>
      </c>
      <c r="G15" s="4" t="s">
        <v>128</v>
      </c>
      <c r="H15" s="4" t="s">
        <v>160</v>
      </c>
      <c r="I15" s="4" t="s">
        <v>176</v>
      </c>
      <c r="J15" s="4" t="s">
        <v>205</v>
      </c>
      <c r="K15" s="4" t="s">
        <v>215</v>
      </c>
      <c r="L15" s="4" t="s">
        <v>237</v>
      </c>
    </row>
    <row r="16" spans="1:39" s="4" customFormat="1" x14ac:dyDescent="0.2">
      <c r="A16" s="5" t="s">
        <v>66</v>
      </c>
      <c r="B16" s="4" t="s">
        <v>17</v>
      </c>
      <c r="C16" s="4" t="s">
        <v>29</v>
      </c>
      <c r="D16" s="4" t="s">
        <v>57</v>
      </c>
      <c r="E16" s="5" t="s">
        <v>117</v>
      </c>
      <c r="F16" s="5" t="s">
        <v>91</v>
      </c>
      <c r="G16" s="4" t="s">
        <v>137</v>
      </c>
      <c r="H16" s="4" t="s">
        <v>158</v>
      </c>
      <c r="I16" s="4" t="s">
        <v>177</v>
      </c>
      <c r="J16" s="4" t="s">
        <v>199</v>
      </c>
      <c r="K16" s="4" t="s">
        <v>222</v>
      </c>
      <c r="L16" s="4" t="s">
        <v>252</v>
      </c>
    </row>
    <row r="17" spans="1:25" s="4" customFormat="1" x14ac:dyDescent="0.2">
      <c r="A17" s="5" t="s">
        <v>73</v>
      </c>
      <c r="B17" s="4" t="s">
        <v>15</v>
      </c>
      <c r="C17" s="4" t="s">
        <v>36</v>
      </c>
      <c r="D17" s="4" t="s">
        <v>54</v>
      </c>
      <c r="E17" s="5" t="s">
        <v>122</v>
      </c>
      <c r="F17" s="5" t="s">
        <v>92</v>
      </c>
      <c r="G17" s="4" t="s">
        <v>135</v>
      </c>
      <c r="H17" s="4" t="s">
        <v>156</v>
      </c>
      <c r="I17" s="4" t="s">
        <v>178</v>
      </c>
      <c r="J17" s="4" t="s">
        <v>190</v>
      </c>
      <c r="K17" s="4" t="s">
        <v>218</v>
      </c>
      <c r="L17" s="4" t="s">
        <v>251</v>
      </c>
    </row>
    <row r="18" spans="1:25" s="4" customFormat="1" x14ac:dyDescent="0.2">
      <c r="A18" s="5" t="s">
        <v>79</v>
      </c>
      <c r="B18" s="4" t="s">
        <v>18</v>
      </c>
      <c r="C18" s="4" t="s">
        <v>39</v>
      </c>
      <c r="D18" s="4" t="s">
        <v>44</v>
      </c>
      <c r="E18" s="5" t="s">
        <v>118</v>
      </c>
      <c r="F18" s="5" t="s">
        <v>89</v>
      </c>
      <c r="G18" s="4" t="s">
        <v>140</v>
      </c>
      <c r="H18" s="4" t="s">
        <v>153</v>
      </c>
      <c r="I18" s="4" t="s">
        <v>179</v>
      </c>
      <c r="J18" s="4" t="s">
        <v>198</v>
      </c>
      <c r="K18" s="4" t="s">
        <v>225</v>
      </c>
      <c r="L18" s="4" t="s">
        <v>247</v>
      </c>
    </row>
    <row r="19" spans="1:25" s="4" customFormat="1" x14ac:dyDescent="0.2">
      <c r="A19" s="5" t="s">
        <v>68</v>
      </c>
      <c r="B19" s="4" t="s">
        <v>13</v>
      </c>
      <c r="C19" s="4" t="s">
        <v>234</v>
      </c>
      <c r="D19" s="4" t="s">
        <v>50</v>
      </c>
      <c r="E19" s="5" t="s">
        <v>119</v>
      </c>
      <c r="F19" s="5" t="s">
        <v>93</v>
      </c>
      <c r="G19" s="4" t="s">
        <v>130</v>
      </c>
      <c r="H19" s="4" t="s">
        <v>147</v>
      </c>
      <c r="I19" s="4" t="s">
        <v>180</v>
      </c>
      <c r="J19" s="4" t="s">
        <v>207</v>
      </c>
      <c r="K19" s="4" t="s">
        <v>220</v>
      </c>
      <c r="L19" s="4" t="s">
        <v>248</v>
      </c>
    </row>
    <row r="20" spans="1:25" s="4" customFormat="1" x14ac:dyDescent="0.2">
      <c r="A20" s="5" t="s">
        <v>71</v>
      </c>
      <c r="B20" s="4" t="s">
        <v>4</v>
      </c>
      <c r="C20" s="4" t="s">
        <v>42</v>
      </c>
      <c r="D20" s="4" t="s">
        <v>43</v>
      </c>
      <c r="E20" s="5" t="s">
        <v>120</v>
      </c>
      <c r="F20" s="5" t="s">
        <v>84</v>
      </c>
      <c r="G20" s="4" t="s">
        <v>125</v>
      </c>
      <c r="H20" s="4" t="s">
        <v>148</v>
      </c>
      <c r="I20" s="4" t="s">
        <v>181</v>
      </c>
      <c r="J20" s="4" t="s">
        <v>201</v>
      </c>
      <c r="K20" s="4" t="s">
        <v>227</v>
      </c>
      <c r="L20" s="4" t="s">
        <v>249</v>
      </c>
    </row>
    <row r="21" spans="1:25" s="4" customFormat="1" x14ac:dyDescent="0.2">
      <c r="A21" s="5" t="s">
        <v>80</v>
      </c>
      <c r="B21" s="4" t="s">
        <v>16</v>
      </c>
      <c r="C21" s="4" t="s">
        <v>40</v>
      </c>
      <c r="D21" s="4" t="s">
        <v>55</v>
      </c>
      <c r="E21" s="5" t="s">
        <v>121</v>
      </c>
      <c r="F21" s="5" t="s">
        <v>102</v>
      </c>
      <c r="G21" s="4" t="s">
        <v>132</v>
      </c>
      <c r="H21" s="4" t="s">
        <v>150</v>
      </c>
      <c r="I21" s="4" t="s">
        <v>182</v>
      </c>
      <c r="J21" s="4" t="s">
        <v>208</v>
      </c>
      <c r="K21" s="4" t="s">
        <v>211</v>
      </c>
      <c r="L21" s="4" t="s">
        <v>250</v>
      </c>
    </row>
    <row r="22" spans="1:25" s="70" customFormat="1" x14ac:dyDescent="0.2">
      <c r="W22" s="70" t="s">
        <v>277</v>
      </c>
      <c r="X22" s="70" t="s">
        <v>236</v>
      </c>
      <c r="Y22" s="70" t="s">
        <v>235</v>
      </c>
    </row>
    <row r="23" spans="1:25" s="70" customFormat="1" x14ac:dyDescent="0.2"/>
    <row r="24" spans="1:25" s="70" customFormat="1" x14ac:dyDescent="0.2"/>
    <row r="25" spans="1:25" s="70" customFormat="1" x14ac:dyDescent="0.2"/>
    <row r="26" spans="1:25" s="70" customFormat="1" x14ac:dyDescent="0.2"/>
    <row r="27" spans="1:25" s="70" customFormat="1" x14ac:dyDescent="0.2">
      <c r="A27" s="70" t="s">
        <v>231</v>
      </c>
      <c r="B27" s="70">
        <f>MATCH(rngOptionsWordList,listWordsHeaders,0)</f>
        <v>11</v>
      </c>
      <c r="C27" s="71" t="s">
        <v>274</v>
      </c>
      <c r="E27" s="70" t="s">
        <v>276</v>
      </c>
      <c r="F27" s="70" t="b">
        <v>0</v>
      </c>
    </row>
    <row r="28" spans="1:25" s="70" customFormat="1" x14ac:dyDescent="0.2">
      <c r="A28" s="70" t="s">
        <v>232</v>
      </c>
      <c r="B28" s="70">
        <f>MATCH(rngOptionsCase,listWordsCase,0)</f>
        <v>1</v>
      </c>
      <c r="C28" s="71" t="s">
        <v>275</v>
      </c>
    </row>
    <row r="29" spans="1:25" hidden="1" x14ac:dyDescent="0.2"/>
    <row r="30" spans="1:25" hidden="1" x14ac:dyDescent="0.2"/>
  </sheetData>
  <customSheetViews>
    <customSheetView guid="{2663DDA2-7708-4CC5-8C99-40E6CC122B10}" scale="70" hiddenRows="1" hiddenColumns="1">
      <selection activeCell="A9" sqref="A9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Options"/>
  <dimension ref="A1:BL33"/>
  <sheetViews>
    <sheetView showGridLines="0" showRowColHeaders="0" tabSelected="1" zoomScaleNormal="100" workbookViewId="0">
      <selection activeCell="E9" sqref="E9:F9"/>
    </sheetView>
  </sheetViews>
  <sheetFormatPr defaultColWidth="0" defaultRowHeight="15" zeroHeight="1" x14ac:dyDescent="0.25"/>
  <cols>
    <col min="1" max="1" width="3.28515625" style="6" customWidth="1"/>
    <col min="2" max="2" width="40.7109375" style="6" customWidth="1"/>
    <col min="3" max="3" width="3.28515625" style="6" customWidth="1"/>
    <col min="4" max="4" width="32.5703125" style="6" customWidth="1"/>
    <col min="5" max="5" width="11.7109375" style="6" customWidth="1"/>
    <col min="6" max="6" width="4.7109375" style="6" customWidth="1"/>
    <col min="7" max="7" width="3.28515625" style="6" customWidth="1"/>
    <col min="8" max="8" width="40.7109375" style="6" customWidth="1"/>
    <col min="9" max="9" width="3.28515625" style="6" customWidth="1"/>
    <col min="10" max="64" width="9.140625" style="6" hidden="1" customWidth="1"/>
    <col min="65" max="16384" width="0" style="6" hidden="1"/>
  </cols>
  <sheetData>
    <row r="1" spans="1:41" x14ac:dyDescent="0.25">
      <c r="A1" s="10"/>
      <c r="B1" s="11"/>
      <c r="C1" s="11"/>
      <c r="D1" s="80"/>
      <c r="E1" s="80"/>
      <c r="F1" s="80"/>
      <c r="G1" s="10"/>
      <c r="H1" s="10"/>
      <c r="I1" s="10"/>
      <c r="AO1" s="6">
        <v>32663.8828125</v>
      </c>
    </row>
    <row r="2" spans="1:41" x14ac:dyDescent="0.25">
      <c r="A2" s="10"/>
      <c r="B2" s="12"/>
      <c r="C2" s="11"/>
      <c r="D2" s="11"/>
      <c r="E2" s="11"/>
      <c r="F2" s="11"/>
      <c r="G2" s="11"/>
      <c r="H2" s="15"/>
      <c r="I2" s="10"/>
    </row>
    <row r="3" spans="1:41" ht="54.95" customHeight="1" thickBot="1" x14ac:dyDescent="0.3">
      <c r="A3" s="10"/>
      <c r="B3" s="13"/>
      <c r="C3" s="18"/>
      <c r="D3" s="75" t="s">
        <v>184</v>
      </c>
      <c r="E3" s="75"/>
      <c r="F3" s="75"/>
      <c r="G3" s="18"/>
      <c r="H3" s="16"/>
      <c r="I3" s="10"/>
    </row>
    <row r="4" spans="1:41" x14ac:dyDescent="0.25">
      <c r="A4" s="10"/>
      <c r="B4" s="13"/>
      <c r="C4" s="18"/>
      <c r="D4" s="18"/>
      <c r="E4" s="18"/>
      <c r="F4" s="18"/>
      <c r="G4" s="18"/>
      <c r="H4" s="16"/>
      <c r="I4" s="10"/>
    </row>
    <row r="5" spans="1:41" ht="39.950000000000003" customHeight="1" x14ac:dyDescent="0.25">
      <c r="A5" s="10"/>
      <c r="B5" s="13"/>
      <c r="C5" s="18"/>
      <c r="D5" s="62"/>
      <c r="E5" s="62"/>
      <c r="F5" s="62"/>
      <c r="G5" s="27"/>
      <c r="H5" s="16"/>
    </row>
    <row r="6" spans="1:41" s="10" customFormat="1" ht="15" customHeight="1" x14ac:dyDescent="0.25">
      <c r="B6" s="13"/>
      <c r="C6" s="18"/>
      <c r="D6" s="27"/>
      <c r="E6" s="27"/>
      <c r="F6" s="27"/>
      <c r="G6" s="27"/>
      <c r="H6" s="41"/>
    </row>
    <row r="7" spans="1:41" ht="15" customHeight="1" x14ac:dyDescent="0.25">
      <c r="A7" s="10"/>
      <c r="B7" s="13"/>
      <c r="C7" s="18"/>
      <c r="D7" s="42" t="s">
        <v>185</v>
      </c>
      <c r="E7" s="44"/>
      <c r="F7" s="43">
        <v>20</v>
      </c>
      <c r="G7" s="27"/>
      <c r="H7" s="41"/>
    </row>
    <row r="8" spans="1:41" ht="15" customHeight="1" x14ac:dyDescent="0.25">
      <c r="A8" s="10"/>
      <c r="B8" s="76" t="s">
        <v>280</v>
      </c>
      <c r="C8" s="18"/>
      <c r="D8" s="18"/>
      <c r="E8" s="18"/>
      <c r="F8" s="18"/>
      <c r="G8" s="18"/>
      <c r="H8" s="16"/>
      <c r="I8" s="10"/>
    </row>
    <row r="9" spans="1:41" ht="15" customHeight="1" x14ac:dyDescent="0.25">
      <c r="A9" s="10"/>
      <c r="B9" s="76"/>
      <c r="C9" s="18"/>
      <c r="D9" s="29" t="s">
        <v>186</v>
      </c>
      <c r="E9" s="78" t="s">
        <v>210</v>
      </c>
      <c r="F9" s="79"/>
      <c r="G9" s="18"/>
      <c r="H9" s="16"/>
      <c r="I9" s="10"/>
    </row>
    <row r="10" spans="1:41" ht="15" customHeight="1" x14ac:dyDescent="0.25">
      <c r="A10" s="10"/>
      <c r="B10" s="76"/>
      <c r="C10" s="18"/>
      <c r="D10" s="18"/>
      <c r="E10" s="18"/>
      <c r="F10" s="18"/>
      <c r="G10" s="18"/>
      <c r="H10" s="16"/>
      <c r="I10" s="10"/>
    </row>
    <row r="11" spans="1:41" ht="15" customHeight="1" x14ac:dyDescent="0.25">
      <c r="A11" s="10"/>
      <c r="B11" s="76"/>
      <c r="C11" s="18"/>
      <c r="D11" s="28" t="s">
        <v>233</v>
      </c>
      <c r="E11" s="78" t="s">
        <v>231</v>
      </c>
      <c r="F11" s="79"/>
      <c r="G11" s="18"/>
      <c r="H11" s="7"/>
    </row>
    <row r="12" spans="1:41" ht="15" customHeight="1" x14ac:dyDescent="0.25">
      <c r="A12" s="10"/>
      <c r="B12" s="76"/>
      <c r="C12" s="18"/>
      <c r="D12" s="63"/>
      <c r="E12" s="64"/>
      <c r="F12" s="64"/>
      <c r="G12" s="27"/>
      <c r="H12" s="41"/>
    </row>
    <row r="13" spans="1:41" ht="15" customHeight="1" x14ac:dyDescent="0.25">
      <c r="A13" s="10"/>
      <c r="B13" s="76"/>
      <c r="C13" s="18"/>
      <c r="D13" s="65"/>
      <c r="E13" s="65"/>
      <c r="F13" s="65"/>
      <c r="G13" s="27"/>
      <c r="H13" s="41"/>
    </row>
    <row r="14" spans="1:41" s="10" customFormat="1" ht="15" customHeight="1" x14ac:dyDescent="0.25">
      <c r="B14" s="77"/>
      <c r="C14" s="14"/>
      <c r="D14" s="14"/>
      <c r="E14" s="14"/>
      <c r="F14" s="14"/>
      <c r="G14" s="14"/>
      <c r="H14" s="17"/>
    </row>
    <row r="15" spans="1:41" s="10" customFormat="1" x14ac:dyDescent="0.25">
      <c r="A15" s="6"/>
      <c r="B15" s="6"/>
      <c r="C15" s="8"/>
      <c r="D15" s="18"/>
      <c r="E15" s="18"/>
      <c r="F15" s="19"/>
      <c r="G15" s="18"/>
      <c r="H15" s="18"/>
      <c r="I15" s="18"/>
    </row>
    <row r="16" spans="1:41" hidden="1" x14ac:dyDescent="0.25">
      <c r="C16" s="8"/>
      <c r="D16" s="8"/>
      <c r="E16" s="8"/>
      <c r="F16" s="8"/>
      <c r="G16" s="8"/>
      <c r="H16" s="8"/>
      <c r="I16" s="8"/>
    </row>
    <row r="17" spans="8:9" hidden="1" x14ac:dyDescent="0.25">
      <c r="H17" s="8"/>
      <c r="I17" s="8"/>
    </row>
    <row r="18" spans="8:9" hidden="1" x14ac:dyDescent="0.25"/>
    <row r="19" spans="8:9" hidden="1" x14ac:dyDescent="0.25"/>
    <row r="20" spans="8:9" hidden="1" x14ac:dyDescent="0.25"/>
    <row r="21" spans="8:9" hidden="1" x14ac:dyDescent="0.25"/>
    <row r="22" spans="8:9" hidden="1" x14ac:dyDescent="0.25"/>
    <row r="23" spans="8:9" hidden="1" x14ac:dyDescent="0.25"/>
    <row r="24" spans="8:9" hidden="1" x14ac:dyDescent="0.25"/>
    <row r="25" spans="8:9" hidden="1" x14ac:dyDescent="0.25"/>
    <row r="26" spans="8:9" hidden="1" x14ac:dyDescent="0.25"/>
    <row r="27" spans="8:9" hidden="1" x14ac:dyDescent="0.25"/>
    <row r="28" spans="8:9" hidden="1" x14ac:dyDescent="0.25"/>
    <row r="29" spans="8:9" hidden="1" x14ac:dyDescent="0.25"/>
    <row r="30" spans="8:9" hidden="1" x14ac:dyDescent="0.25"/>
    <row r="31" spans="8:9" hidden="1" x14ac:dyDescent="0.25"/>
    <row r="32" spans="8:9" hidden="1" x14ac:dyDescent="0.25"/>
    <row r="33" hidden="1" x14ac:dyDescent="0.25"/>
  </sheetData>
  <sheetProtection sheet="1" objects="1" scenarios="1" selectLockedCells="1"/>
  <customSheetViews>
    <customSheetView guid="{2663DDA2-7708-4CC5-8C99-40E6CC122B10}" showGridLines="0" showRowCol="0" hiddenRows="1" hiddenColumns="1">
      <selection activeCell="F7" sqref="F7"/>
      <pageMargins left="0.7" right="0.7" top="0.75" bottom="0.75" header="0.3" footer="0.3"/>
      <pageSetup orientation="portrait" r:id="rId1"/>
    </customSheetView>
  </customSheetViews>
  <mergeCells count="5">
    <mergeCell ref="D3:F3"/>
    <mergeCell ref="B8:B14"/>
    <mergeCell ref="E9:F9"/>
    <mergeCell ref="E11:F11"/>
    <mergeCell ref="D1:F1"/>
  </mergeCells>
  <dataValidations count="3">
    <dataValidation type="list" allowBlank="1" showInputMessage="1" showErrorMessage="1" sqref="E9">
      <formula1>listWordsHeaders</formula1>
    </dataValidation>
    <dataValidation type="list" allowBlank="1" showInputMessage="1" showErrorMessage="1" sqref="E11:E12">
      <formula1>listWordsCase</formula1>
    </dataValidation>
    <dataValidation type="whole" allowBlank="1" showInputMessage="1" showErrorMessage="1" sqref="F7">
      <formula1>20</formula1>
      <formula2>30</formula2>
    </dataValidation>
  </dataValidations>
  <pageMargins left="0.7" right="0.7" top="0.75" bottom="0.75" header="0.3" footer="0.3"/>
  <pageSetup orientation="portrait" r:id="rId2"/>
  <cellWatches>
    <cellWatch r="F7"/>
    <cellWatch r="E9"/>
    <cellWatch r="E11"/>
  </cellWatches>
  <drawing r:id="rId3"/>
  <legacyDrawing r:id="rId4"/>
  <controls>
    <mc:AlternateContent xmlns:mc="http://schemas.openxmlformats.org/markup-compatibility/2006">
      <mc:Choice Requires="x14">
        <control shapeId="2503" r:id="rId5" name="ScrollBar1">
          <controlPr defaultSize="0" autoFill="0" autoLine="0" linkedCell="F7" r:id="rId6">
            <anchor>
              <from>
                <xdr:col>4</xdr:col>
                <xdr:colOff>9525</xdr:colOff>
                <xdr:row>6</xdr:row>
                <xdr:rowOff>9525</xdr:rowOff>
              </from>
              <to>
                <xdr:col>5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2503" r:id="rId5" name="ScrollBar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ble"/>
  <dimension ref="A1:AZ50"/>
  <sheetViews>
    <sheetView showGridLines="0" showRowColHeaders="0" zoomScaleNormal="100" workbookViewId="0">
      <selection activeCell="E14" sqref="E8:E14"/>
    </sheetView>
  </sheetViews>
  <sheetFormatPr defaultColWidth="0" defaultRowHeight="12.75" zeroHeight="1" x14ac:dyDescent="0.2"/>
  <cols>
    <col min="1" max="32" width="2.7109375" style="24" customWidth="1"/>
    <col min="33" max="33" width="18.85546875" style="25" bestFit="1" customWidth="1"/>
    <col min="34" max="52" width="2.7109375" style="24" customWidth="1"/>
    <col min="53" max="78" width="2.7109375" style="24" hidden="1" customWidth="1"/>
    <col min="79" max="16384" width="2.7109375" style="24" hidden="1"/>
  </cols>
  <sheetData>
    <row r="1" spans="1:52" ht="12" customHeight="1" x14ac:dyDescent="0.2">
      <c r="A1" s="31"/>
      <c r="B1" s="82"/>
      <c r="C1" s="83"/>
      <c r="D1" s="82"/>
      <c r="E1" s="82"/>
      <c r="F1" s="37"/>
      <c r="G1" s="37"/>
      <c r="H1" s="37"/>
      <c r="I1" s="37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4"/>
      <c r="AI1" s="30"/>
      <c r="AJ1" s="30"/>
      <c r="AK1" s="30"/>
      <c r="AL1" s="30"/>
      <c r="AM1" s="30"/>
      <c r="AN1" s="31"/>
      <c r="AO1" s="31"/>
      <c r="AP1" s="31"/>
      <c r="AQ1" s="31"/>
      <c r="AR1" s="31"/>
      <c r="AS1" s="31"/>
      <c r="AT1" s="31"/>
      <c r="AU1" s="30"/>
      <c r="AV1" s="30"/>
      <c r="AW1" s="30"/>
      <c r="AX1" s="30"/>
      <c r="AY1" s="30"/>
      <c r="AZ1" s="30"/>
    </row>
    <row r="2" spans="1:52" ht="12" customHeight="1" x14ac:dyDescent="0.2">
      <c r="A2" s="32"/>
      <c r="B2" s="20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36"/>
      <c r="AG2" s="38"/>
      <c r="AH2" s="32"/>
      <c r="AI2" s="32"/>
      <c r="AJ2" s="30"/>
      <c r="AK2" s="30"/>
      <c r="AL2" s="30"/>
      <c r="AM2" s="30"/>
      <c r="AN2" s="31"/>
      <c r="AO2" s="31"/>
      <c r="AP2" s="31"/>
      <c r="AQ2" s="31"/>
      <c r="AR2" s="31"/>
      <c r="AS2" s="31"/>
      <c r="AT2" s="31"/>
      <c r="AU2" s="30"/>
      <c r="AV2" s="30"/>
      <c r="AW2" s="30"/>
      <c r="AX2" s="30"/>
      <c r="AY2" s="30"/>
      <c r="AZ2" s="30"/>
    </row>
    <row r="3" spans="1:52" ht="12" customHeight="1" x14ac:dyDescent="0.2">
      <c r="A3" s="32"/>
      <c r="B3" s="22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36"/>
      <c r="AG3" s="39"/>
      <c r="AH3" s="32"/>
      <c r="AI3" s="32"/>
      <c r="AJ3" s="30"/>
      <c r="AK3" s="30"/>
      <c r="AL3" s="30"/>
      <c r="AM3" s="30"/>
      <c r="AN3" s="31"/>
      <c r="AO3" s="31"/>
      <c r="AP3" s="31"/>
      <c r="AQ3" s="31"/>
      <c r="AR3" s="31"/>
      <c r="AS3" s="31"/>
      <c r="AT3" s="31"/>
      <c r="AU3" s="30"/>
      <c r="AV3" s="30"/>
      <c r="AW3" s="30"/>
      <c r="AX3" s="30"/>
      <c r="AY3" s="30"/>
      <c r="AZ3" s="30"/>
    </row>
    <row r="4" spans="1:52" ht="12" customHeight="1" x14ac:dyDescent="0.2">
      <c r="A4" s="32"/>
      <c r="B4" s="22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69"/>
      <c r="V4" s="23"/>
      <c r="W4" s="23"/>
      <c r="X4" s="23"/>
      <c r="Y4" s="23"/>
      <c r="Z4" s="23"/>
      <c r="AA4" s="23"/>
      <c r="AB4" s="23"/>
      <c r="AC4" s="23"/>
      <c r="AD4" s="23"/>
      <c r="AE4" s="23"/>
      <c r="AF4" s="36"/>
      <c r="AG4" s="39"/>
      <c r="AH4" s="32"/>
      <c r="AI4" s="32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</row>
    <row r="5" spans="1:52" ht="12" customHeight="1" x14ac:dyDescent="0.2">
      <c r="A5" s="32"/>
      <c r="B5" s="22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69"/>
      <c r="V5" s="23"/>
      <c r="W5" s="23"/>
      <c r="X5" s="23"/>
      <c r="Y5" s="23"/>
      <c r="Z5" s="23"/>
      <c r="AA5" s="23"/>
      <c r="AB5" s="23"/>
      <c r="AC5" s="23"/>
      <c r="AD5" s="23"/>
      <c r="AE5" s="23"/>
      <c r="AF5" s="36"/>
      <c r="AG5" s="39"/>
      <c r="AH5" s="32"/>
      <c r="AI5" s="32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</row>
    <row r="6" spans="1:52" ht="12" customHeight="1" x14ac:dyDescent="0.2">
      <c r="A6" s="32"/>
      <c r="B6" s="22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69"/>
      <c r="V6" s="23"/>
      <c r="W6" s="23"/>
      <c r="X6" s="23"/>
      <c r="Y6" s="23"/>
      <c r="Z6" s="23"/>
      <c r="AA6" s="23"/>
      <c r="AB6" s="23"/>
      <c r="AC6" s="23"/>
      <c r="AD6" s="23"/>
      <c r="AE6" s="23"/>
      <c r="AF6" s="36"/>
      <c r="AG6" s="39"/>
      <c r="AH6" s="32"/>
      <c r="AI6" s="32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</row>
    <row r="7" spans="1:52" ht="12" customHeight="1" x14ac:dyDescent="0.2">
      <c r="A7" s="32"/>
      <c r="B7" s="22"/>
      <c r="C7" s="23"/>
      <c r="D7" s="23"/>
      <c r="E7" s="23"/>
      <c r="F7" s="23"/>
      <c r="G7" s="23"/>
      <c r="H7" s="23"/>
      <c r="I7" s="69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69"/>
      <c r="V7" s="23"/>
      <c r="W7" s="23"/>
      <c r="X7" s="23"/>
      <c r="Y7" s="23"/>
      <c r="Z7" s="23"/>
      <c r="AA7" s="23"/>
      <c r="AB7" s="23"/>
      <c r="AC7" s="23"/>
      <c r="AD7" s="23"/>
      <c r="AE7" s="23"/>
      <c r="AF7" s="36"/>
      <c r="AG7" s="39"/>
      <c r="AH7" s="32"/>
      <c r="AI7" s="32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</row>
    <row r="8" spans="1:52" ht="12" customHeight="1" x14ac:dyDescent="0.2">
      <c r="A8" s="32"/>
      <c r="B8" s="22"/>
      <c r="C8" s="23"/>
      <c r="D8" s="23"/>
      <c r="E8" s="23"/>
      <c r="F8" s="23"/>
      <c r="G8" s="23"/>
      <c r="H8" s="23"/>
      <c r="I8" s="69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69"/>
      <c r="V8" s="23"/>
      <c r="W8" s="23"/>
      <c r="X8" s="23"/>
      <c r="Y8" s="23"/>
      <c r="Z8" s="23"/>
      <c r="AA8" s="23"/>
      <c r="AB8" s="23"/>
      <c r="AC8" s="23"/>
      <c r="AD8" s="23"/>
      <c r="AE8" s="23"/>
      <c r="AF8" s="36"/>
      <c r="AG8" s="39"/>
      <c r="AH8" s="32"/>
      <c r="AI8" s="32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</row>
    <row r="9" spans="1:52" ht="12" customHeight="1" x14ac:dyDescent="0.2">
      <c r="A9" s="32"/>
      <c r="B9" s="22"/>
      <c r="C9" s="23"/>
      <c r="D9" s="23"/>
      <c r="E9" s="23"/>
      <c r="F9" s="23"/>
      <c r="G9" s="23"/>
      <c r="H9" s="23"/>
      <c r="I9" s="69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69"/>
      <c r="V9" s="23"/>
      <c r="W9" s="23"/>
      <c r="X9" s="23"/>
      <c r="Y9" s="23"/>
      <c r="Z9" s="23"/>
      <c r="AA9" s="23"/>
      <c r="AB9" s="23"/>
      <c r="AC9" s="23"/>
      <c r="AD9" s="23"/>
      <c r="AE9" s="23"/>
      <c r="AF9" s="36"/>
      <c r="AG9" s="39"/>
      <c r="AH9" s="32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30"/>
    </row>
    <row r="10" spans="1:52" ht="12" customHeight="1" x14ac:dyDescent="0.2">
      <c r="A10" s="32"/>
      <c r="B10" s="22"/>
      <c r="C10" s="23"/>
      <c r="D10" s="23"/>
      <c r="E10" s="23"/>
      <c r="F10" s="23"/>
      <c r="G10" s="23"/>
      <c r="H10" s="23"/>
      <c r="I10" s="69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36"/>
      <c r="AG10" s="39"/>
      <c r="AH10" s="32"/>
      <c r="AI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30"/>
    </row>
    <row r="11" spans="1:52" ht="12" customHeight="1" x14ac:dyDescent="0.2">
      <c r="A11" s="32"/>
      <c r="B11" s="22"/>
      <c r="C11" s="23"/>
      <c r="D11" s="23"/>
      <c r="E11" s="23"/>
      <c r="F11" s="23"/>
      <c r="G11" s="23"/>
      <c r="H11" s="23"/>
      <c r="I11" s="69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36"/>
      <c r="AG11" s="39"/>
      <c r="AH11" s="32"/>
      <c r="AI11" s="81" t="s">
        <v>279</v>
      </c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30"/>
    </row>
    <row r="12" spans="1:52" ht="12" customHeight="1" x14ac:dyDescent="0.2">
      <c r="A12" s="32"/>
      <c r="B12" s="22"/>
      <c r="C12" s="23"/>
      <c r="D12" s="23"/>
      <c r="E12" s="23"/>
      <c r="F12" s="23"/>
      <c r="G12" s="23"/>
      <c r="H12" s="23"/>
      <c r="I12" s="69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36"/>
      <c r="AG12" s="39"/>
      <c r="AH12" s="32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30"/>
    </row>
    <row r="13" spans="1:52" ht="12" customHeight="1" x14ac:dyDescent="0.2">
      <c r="A13" s="32"/>
      <c r="B13" s="22"/>
      <c r="C13" s="23"/>
      <c r="D13" s="23"/>
      <c r="E13" s="23"/>
      <c r="F13" s="23"/>
      <c r="G13" s="23"/>
      <c r="H13" s="23"/>
      <c r="I13" s="69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36"/>
      <c r="AG13" s="39"/>
      <c r="AH13" s="32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30"/>
    </row>
    <row r="14" spans="1:52" ht="12" customHeight="1" x14ac:dyDescent="0.2">
      <c r="A14" s="32"/>
      <c r="B14" s="22"/>
      <c r="C14" s="23"/>
      <c r="D14" s="23"/>
      <c r="E14" s="23"/>
      <c r="F14" s="23"/>
      <c r="G14" s="23"/>
      <c r="H14" s="23"/>
      <c r="I14" s="69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36"/>
      <c r="AG14" s="39"/>
      <c r="AH14" s="32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30"/>
    </row>
    <row r="15" spans="1:52" ht="12" customHeight="1" x14ac:dyDescent="0.2">
      <c r="A15" s="32"/>
      <c r="B15" s="22"/>
      <c r="C15" s="23"/>
      <c r="D15" s="23"/>
      <c r="E15" s="23"/>
      <c r="F15" s="23"/>
      <c r="G15" s="23"/>
      <c r="H15" s="23"/>
      <c r="I15" s="69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36"/>
      <c r="AG15" s="39"/>
      <c r="AH15" s="32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30"/>
    </row>
    <row r="16" spans="1:52" ht="12" customHeight="1" x14ac:dyDescent="0.2">
      <c r="A16" s="32"/>
      <c r="B16" s="22"/>
      <c r="C16" s="23"/>
      <c r="D16" s="23"/>
      <c r="E16" s="23"/>
      <c r="F16" s="23"/>
      <c r="G16" s="23"/>
      <c r="H16" s="23"/>
      <c r="I16" s="69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36"/>
      <c r="AG16" s="39"/>
      <c r="AH16" s="32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30"/>
    </row>
    <row r="17" spans="1:52" ht="12" customHeight="1" x14ac:dyDescent="0.2">
      <c r="A17" s="32"/>
      <c r="B17" s="22"/>
      <c r="C17" s="23"/>
      <c r="D17" s="23"/>
      <c r="E17" s="23"/>
      <c r="F17" s="23"/>
      <c r="G17" s="23"/>
      <c r="H17" s="23"/>
      <c r="I17" s="69"/>
      <c r="J17" s="23"/>
      <c r="K17" s="69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36"/>
      <c r="AG17" s="39"/>
      <c r="AH17" s="32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30"/>
    </row>
    <row r="18" spans="1:52" ht="12" customHeight="1" x14ac:dyDescent="0.2">
      <c r="A18" s="32"/>
      <c r="B18" s="22"/>
      <c r="C18" s="23"/>
      <c r="D18" s="23"/>
      <c r="E18" s="23"/>
      <c r="F18" s="23"/>
      <c r="G18" s="23"/>
      <c r="H18" s="23"/>
      <c r="I18" s="69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36"/>
      <c r="AG18" s="39"/>
      <c r="AH18" s="32"/>
      <c r="AI18" s="32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</row>
    <row r="19" spans="1:52" ht="12" customHeight="1" x14ac:dyDescent="0.2">
      <c r="A19" s="32"/>
      <c r="B19" s="22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36"/>
      <c r="AG19" s="39"/>
      <c r="AH19" s="32"/>
      <c r="AI19" s="32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</row>
    <row r="20" spans="1:52" ht="12" customHeight="1" x14ac:dyDescent="0.2">
      <c r="A20" s="32"/>
      <c r="B20" s="22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36"/>
      <c r="AG20" s="39"/>
      <c r="AH20" s="32"/>
      <c r="AI20" s="32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</row>
    <row r="21" spans="1:52" ht="12" customHeight="1" x14ac:dyDescent="0.2">
      <c r="A21" s="32"/>
      <c r="B21" s="22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36"/>
      <c r="AG21" s="40"/>
      <c r="AH21" s="32"/>
      <c r="AI21" s="32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</row>
    <row r="22" spans="1:52" ht="12" customHeight="1" x14ac:dyDescent="0.2">
      <c r="A22" s="32"/>
      <c r="B22" s="22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36"/>
      <c r="AG22" s="9"/>
      <c r="AH22" s="32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</row>
    <row r="23" spans="1:52" ht="12" customHeight="1" x14ac:dyDescent="0.2">
      <c r="A23" s="32"/>
      <c r="B23" s="22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36"/>
      <c r="AG23" s="9"/>
      <c r="AH23" s="32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</row>
    <row r="24" spans="1:52" ht="12" customHeight="1" x14ac:dyDescent="0.2">
      <c r="A24" s="32"/>
      <c r="B24" s="22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36"/>
      <c r="AG24" s="9"/>
      <c r="AH24" s="32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</row>
    <row r="25" spans="1:52" ht="12" customHeight="1" x14ac:dyDescent="0.2">
      <c r="A25" s="32"/>
      <c r="B25" s="22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36"/>
      <c r="AG25" s="9"/>
      <c r="AH25" s="32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</row>
    <row r="26" spans="1:52" ht="12" customHeight="1" x14ac:dyDescent="0.2">
      <c r="A26" s="32"/>
      <c r="B26" s="22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36"/>
      <c r="AG26" s="9"/>
      <c r="AH26" s="32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</row>
    <row r="27" spans="1:52" ht="12" customHeight="1" x14ac:dyDescent="0.2">
      <c r="A27" s="32"/>
      <c r="B27" s="22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36"/>
      <c r="AG27" s="9"/>
      <c r="AH27" s="32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</row>
    <row r="28" spans="1:52" ht="12" customHeight="1" x14ac:dyDescent="0.2">
      <c r="A28" s="32"/>
      <c r="B28" s="22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36"/>
      <c r="AG28" s="9"/>
      <c r="AH28" s="32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</row>
    <row r="29" spans="1:52" ht="12" customHeight="1" x14ac:dyDescent="0.2">
      <c r="A29" s="32"/>
      <c r="B29" s="22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36"/>
      <c r="AG29" s="9"/>
      <c r="AH29" s="32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</row>
    <row r="30" spans="1:52" ht="12" customHeight="1" x14ac:dyDescent="0.2">
      <c r="A30" s="32"/>
      <c r="B30" s="22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36"/>
      <c r="AG30" s="9"/>
      <c r="AH30" s="32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</row>
    <row r="31" spans="1:52" ht="12" customHeight="1" x14ac:dyDescent="0.2">
      <c r="A31" s="32"/>
      <c r="B31" s="22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36"/>
      <c r="AG31" s="9"/>
      <c r="AH31" s="32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</row>
    <row r="32" spans="1:52" ht="12" customHeight="1" x14ac:dyDescent="0.2">
      <c r="A32" s="32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2"/>
      <c r="AG32" s="32"/>
      <c r="AH32" s="32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</row>
    <row r="33" spans="1:52" ht="14.25" hidden="1" customHeight="1" x14ac:dyDescent="0.2">
      <c r="A33" s="30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</row>
    <row r="34" spans="1:52" ht="14.25" hidden="1" customHeight="1" x14ac:dyDescent="0.2">
      <c r="AF34" s="26"/>
      <c r="AG34" s="9"/>
    </row>
    <row r="35" spans="1:52" ht="14.25" hidden="1" customHeight="1" x14ac:dyDescent="0.2">
      <c r="AF35" s="26"/>
      <c r="AG35" s="9"/>
    </row>
    <row r="36" spans="1:52" ht="14.25" hidden="1" customHeight="1" x14ac:dyDescent="0.2">
      <c r="AF36" s="26"/>
      <c r="AG36" s="9"/>
    </row>
    <row r="37" spans="1:52" ht="14.25" hidden="1" customHeight="1" x14ac:dyDescent="0.2">
      <c r="AF37" s="26"/>
      <c r="AG37" s="9"/>
    </row>
    <row r="38" spans="1:52" ht="14.25" hidden="1" customHeight="1" x14ac:dyDescent="0.2">
      <c r="AF38" s="26"/>
      <c r="AG38" s="9"/>
    </row>
    <row r="39" spans="1:52" ht="14.25" hidden="1" customHeight="1" x14ac:dyDescent="0.2">
      <c r="AF39" s="26"/>
      <c r="AG39" s="9"/>
    </row>
    <row r="40" spans="1:52" ht="14.25" hidden="1" customHeight="1" x14ac:dyDescent="0.2">
      <c r="AF40" s="26"/>
      <c r="AG40" s="9"/>
    </row>
    <row r="41" spans="1:52" ht="14.25" hidden="1" customHeight="1" x14ac:dyDescent="0.2"/>
    <row r="42" spans="1:52" ht="14.25" hidden="1" customHeight="1" x14ac:dyDescent="0.2"/>
    <row r="43" spans="1:52" ht="14.25" hidden="1" customHeight="1" x14ac:dyDescent="0.2"/>
    <row r="44" spans="1:52" ht="14.25" hidden="1" customHeight="1" x14ac:dyDescent="0.2"/>
    <row r="45" spans="1:52" hidden="1" x14ac:dyDescent="0.2"/>
    <row r="46" spans="1:52" hidden="1" x14ac:dyDescent="0.2"/>
    <row r="47" spans="1:52" hidden="1" x14ac:dyDescent="0.2"/>
    <row r="48" spans="1:52" hidden="1" x14ac:dyDescent="0.2"/>
    <row r="49" hidden="1" x14ac:dyDescent="0.2"/>
    <row r="50" hidden="1" x14ac:dyDescent="0.2"/>
  </sheetData>
  <sheetProtection selectLockedCells="1"/>
  <protectedRanges>
    <protectedRange sqref="B2:H31 I2:I6 I19:I31 J2:J31 K2:K16 K18:K31 L2:P31 V2:AE31 Q2:U3 Q10:U31 Q4:T9" name="rngTable"/>
  </protectedRanges>
  <customSheetViews>
    <customSheetView guid="{2663DDA2-7708-4CC5-8C99-40E6CC122B10}" showGridLines="0" showRowCol="0" hiddenRows="1" hiddenColumns="1">
      <selection activeCell="AG13" sqref="AG13"/>
      <pageMargins left="0.7" right="0.7" top="0.75" bottom="0.75" header="0.3" footer="0.3"/>
      <pageSetup orientation="portrait" r:id="rId1"/>
    </customSheetView>
  </customSheetViews>
  <mergeCells count="2">
    <mergeCell ref="AI11:AY16"/>
    <mergeCell ref="B1:E1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3077" r:id="rId5" name="CheckBox1">
          <controlPr locked="0" autoFill="0" autoLine="0" linkedCell="rngWordsCheckBox1" r:id="rId6">
            <anchor moveWithCells="1" sizeWithCells="1">
              <from>
                <xdr:col>34</xdr:col>
                <xdr:colOff>9525</xdr:colOff>
                <xdr:row>7</xdr:row>
                <xdr:rowOff>123825</xdr:rowOff>
              </from>
              <to>
                <xdr:col>41</xdr:col>
                <xdr:colOff>104775</xdr:colOff>
                <xdr:row>9</xdr:row>
                <xdr:rowOff>66675</xdr:rowOff>
              </to>
            </anchor>
          </controlPr>
        </control>
      </mc:Choice>
      <mc:Fallback>
        <control shapeId="3077" r:id="rId5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sults"/>
  <dimension ref="A1:V19"/>
  <sheetViews>
    <sheetView showGridLines="0" showRowColHeaders="0" zoomScaleNormal="100" workbookViewId="0">
      <selection activeCell="H6" sqref="H6"/>
    </sheetView>
  </sheetViews>
  <sheetFormatPr defaultColWidth="0" defaultRowHeight="12.75" x14ac:dyDescent="0.25"/>
  <cols>
    <col min="1" max="1" width="3.7109375" style="45" customWidth="1"/>
    <col min="2" max="2" width="9.5703125" style="49" bestFit="1" customWidth="1"/>
    <col min="3" max="3" width="18.28515625" style="66" customWidth="1"/>
    <col min="4" max="4" width="16.42578125" style="49" bestFit="1" customWidth="1"/>
    <col min="5" max="5" width="22.5703125" style="66" customWidth="1"/>
    <col min="6" max="6" width="15.140625" style="49" customWidth="1"/>
    <col min="7" max="7" width="15.140625" style="57" customWidth="1"/>
    <col min="8" max="8" width="14.42578125" style="50" customWidth="1"/>
    <col min="9" max="9" width="21.140625" style="56" customWidth="1"/>
    <col min="10" max="10" width="3.7109375" style="45" customWidth="1"/>
    <col min="11" max="16" width="9.140625" style="45" hidden="1" customWidth="1"/>
    <col min="17" max="22" width="0" style="45" hidden="1" customWidth="1"/>
    <col min="23" max="16384" width="9.140625" style="45" hidden="1"/>
  </cols>
  <sheetData>
    <row r="1" spans="2:15" ht="66.75" customHeight="1" x14ac:dyDescent="0.25">
      <c r="G1" s="57">
        <v>56033.125</v>
      </c>
      <c r="I1" s="56">
        <v>42370.648530092592</v>
      </c>
      <c r="K1" s="51"/>
      <c r="L1" s="51"/>
      <c r="M1" s="51"/>
      <c r="N1" s="51"/>
      <c r="O1" s="51"/>
    </row>
    <row r="2" spans="2:15" s="46" customFormat="1" ht="30" customHeight="1" x14ac:dyDescent="0.25">
      <c r="B2" s="59" t="s">
        <v>258</v>
      </c>
      <c r="C2" s="67" t="s">
        <v>262</v>
      </c>
      <c r="D2" s="59" t="s">
        <v>185</v>
      </c>
      <c r="E2" s="67" t="s">
        <v>259</v>
      </c>
      <c r="F2" s="60" t="s">
        <v>233</v>
      </c>
      <c r="G2" s="61" t="s">
        <v>261</v>
      </c>
      <c r="H2" s="59" t="s">
        <v>264</v>
      </c>
      <c r="I2" s="58" t="s">
        <v>260</v>
      </c>
      <c r="J2" s="52"/>
      <c r="K2" s="52"/>
      <c r="L2" s="52"/>
      <c r="M2" s="52"/>
      <c r="N2" s="52"/>
      <c r="O2" s="52"/>
    </row>
    <row r="3" spans="2:15" ht="15" customHeight="1" x14ac:dyDescent="0.25">
      <c r="B3" s="54">
        <v>1</v>
      </c>
      <c r="C3" s="66" t="s">
        <v>265</v>
      </c>
      <c r="D3" s="54">
        <v>20</v>
      </c>
      <c r="E3" s="72" t="s">
        <v>1</v>
      </c>
      <c r="F3" s="53" t="s">
        <v>263</v>
      </c>
      <c r="G3" s="57">
        <v>0.1423611111111111</v>
      </c>
      <c r="H3" s="50">
        <v>7</v>
      </c>
      <c r="I3" s="56" t="s">
        <v>266</v>
      </c>
      <c r="J3" s="51"/>
      <c r="K3" s="51"/>
      <c r="L3" s="51"/>
      <c r="M3" s="51"/>
      <c r="N3" s="51"/>
      <c r="O3" s="51"/>
    </row>
    <row r="4" spans="2:15" ht="15" customHeight="1" x14ac:dyDescent="0.25">
      <c r="B4" s="54">
        <v>2</v>
      </c>
      <c r="C4" s="66" t="s">
        <v>265</v>
      </c>
      <c r="D4" s="54">
        <v>20</v>
      </c>
      <c r="E4" s="72" t="s">
        <v>1</v>
      </c>
      <c r="F4" s="53" t="s">
        <v>263</v>
      </c>
      <c r="G4" s="57">
        <v>0.16527777777777777</v>
      </c>
      <c r="H4" s="50">
        <v>9</v>
      </c>
      <c r="I4" s="56" t="s">
        <v>267</v>
      </c>
      <c r="J4" s="53"/>
      <c r="K4" s="53"/>
      <c r="L4" s="53"/>
      <c r="M4" s="53"/>
      <c r="N4" s="53"/>
      <c r="O4" s="53"/>
    </row>
    <row r="5" spans="2:15" ht="15" customHeight="1" x14ac:dyDescent="0.25">
      <c r="B5" s="50">
        <v>3</v>
      </c>
      <c r="C5" s="66" t="s">
        <v>265</v>
      </c>
      <c r="D5" s="50">
        <v>20</v>
      </c>
      <c r="E5" s="68" t="s">
        <v>1</v>
      </c>
      <c r="F5" s="55" t="s">
        <v>263</v>
      </c>
      <c r="G5" s="57">
        <v>0.17569444444444446</v>
      </c>
      <c r="H5" s="50">
        <v>6</v>
      </c>
      <c r="I5" s="56" t="s">
        <v>268</v>
      </c>
      <c r="J5" s="48"/>
      <c r="K5" s="48"/>
      <c r="L5" s="48"/>
      <c r="M5" s="48"/>
      <c r="N5" s="48"/>
      <c r="O5" s="48"/>
    </row>
    <row r="6" spans="2:15" ht="15" customHeight="1" x14ac:dyDescent="0.25">
      <c r="B6" s="54">
        <v>4</v>
      </c>
      <c r="C6" s="66" t="s">
        <v>270</v>
      </c>
      <c r="D6" s="54">
        <v>20</v>
      </c>
      <c r="E6" s="72" t="s">
        <v>1</v>
      </c>
      <c r="F6" s="53" t="s">
        <v>263</v>
      </c>
      <c r="G6" s="57">
        <v>7.7083333333333337E-2</v>
      </c>
      <c r="H6" s="50">
        <v>20</v>
      </c>
      <c r="I6" s="56" t="s">
        <v>269</v>
      </c>
      <c r="J6" s="48"/>
      <c r="K6" s="48"/>
      <c r="L6" s="48"/>
      <c r="M6" s="48"/>
      <c r="N6" s="48"/>
      <c r="O6" s="48"/>
    </row>
    <row r="7" spans="2:15" ht="15" customHeight="1" x14ac:dyDescent="0.25">
      <c r="B7" s="54">
        <v>5</v>
      </c>
      <c r="C7" s="66" t="s">
        <v>270</v>
      </c>
      <c r="D7" s="54">
        <v>20</v>
      </c>
      <c r="E7" s="72" t="s">
        <v>1</v>
      </c>
      <c r="F7" s="53" t="s">
        <v>263</v>
      </c>
      <c r="G7" s="57">
        <v>8.819444444444445E-2</v>
      </c>
      <c r="H7" s="50">
        <v>2</v>
      </c>
      <c r="I7" s="56" t="s">
        <v>271</v>
      </c>
      <c r="J7" s="47"/>
      <c r="K7" s="47"/>
      <c r="L7" s="47"/>
      <c r="M7" s="47"/>
      <c r="N7" s="47"/>
      <c r="O7" s="47"/>
    </row>
    <row r="8" spans="2:15" ht="15" customHeight="1" x14ac:dyDescent="0.25">
      <c r="B8" s="54">
        <v>6</v>
      </c>
      <c r="C8" s="66" t="s">
        <v>270</v>
      </c>
      <c r="D8" s="54">
        <v>20</v>
      </c>
      <c r="E8" s="72" t="s">
        <v>1</v>
      </c>
      <c r="F8" s="53" t="s">
        <v>263</v>
      </c>
      <c r="G8" s="57">
        <v>0.10347222222222223</v>
      </c>
      <c r="H8" s="50">
        <v>1</v>
      </c>
      <c r="I8" s="56" t="s">
        <v>272</v>
      </c>
      <c r="J8" s="47"/>
      <c r="K8" s="47"/>
      <c r="L8" s="47"/>
      <c r="M8" s="47"/>
      <c r="N8" s="47"/>
      <c r="O8" s="47"/>
    </row>
    <row r="9" spans="2:15" ht="15" customHeight="1" x14ac:dyDescent="0.25">
      <c r="B9" s="54">
        <v>7</v>
      </c>
      <c r="C9" s="66" t="s">
        <v>270</v>
      </c>
      <c r="D9" s="54">
        <v>20</v>
      </c>
      <c r="E9" s="72" t="s">
        <v>257</v>
      </c>
      <c r="F9" s="53" t="s">
        <v>263</v>
      </c>
      <c r="G9" s="57">
        <v>0.15486111111111112</v>
      </c>
      <c r="H9" s="50">
        <v>19</v>
      </c>
      <c r="I9" s="56" t="s">
        <v>273</v>
      </c>
      <c r="J9" s="48"/>
      <c r="K9" s="47"/>
      <c r="L9" s="47"/>
      <c r="M9" s="47"/>
      <c r="N9" s="47"/>
      <c r="O9" s="47"/>
    </row>
    <row r="10" spans="2:15" ht="15" customHeight="1" x14ac:dyDescent="0.25">
      <c r="B10" s="50">
        <v>8</v>
      </c>
      <c r="C10" s="66" t="s">
        <v>270</v>
      </c>
      <c r="D10" s="50">
        <v>20</v>
      </c>
      <c r="E10" s="68" t="s">
        <v>2</v>
      </c>
      <c r="F10" s="55" t="s">
        <v>263</v>
      </c>
      <c r="G10" s="57">
        <v>0.16597222222222222</v>
      </c>
      <c r="H10" s="50">
        <v>19</v>
      </c>
      <c r="I10" s="56" t="s">
        <v>278</v>
      </c>
      <c r="J10" s="48"/>
      <c r="K10" s="48"/>
      <c r="L10" s="48"/>
      <c r="M10" s="48"/>
      <c r="N10" s="48"/>
      <c r="O10" s="48"/>
    </row>
    <row r="11" spans="2:15" ht="15" customHeight="1" x14ac:dyDescent="0.25">
      <c r="B11" s="50"/>
      <c r="C11" s="68"/>
      <c r="D11" s="50"/>
      <c r="E11" s="68"/>
      <c r="F11" s="50"/>
      <c r="J11" s="48"/>
      <c r="K11" s="48"/>
      <c r="L11" s="48"/>
      <c r="M11" s="48"/>
      <c r="N11" s="48"/>
      <c r="O11" s="48"/>
    </row>
    <row r="12" spans="2:15" ht="15" customHeight="1" x14ac:dyDescent="0.25">
      <c r="B12" s="50"/>
      <c r="C12" s="68"/>
      <c r="D12" s="50"/>
      <c r="E12" s="68"/>
      <c r="F12" s="50"/>
      <c r="J12" s="48"/>
      <c r="K12" s="48"/>
      <c r="L12" s="48"/>
      <c r="M12" s="48"/>
      <c r="N12" s="48"/>
      <c r="O12" s="48"/>
    </row>
    <row r="13" spans="2:15" ht="15" customHeight="1" x14ac:dyDescent="0.25">
      <c r="B13" s="50"/>
      <c r="C13" s="68"/>
      <c r="D13" s="50"/>
      <c r="E13" s="73"/>
      <c r="F13" s="50"/>
      <c r="J13" s="48"/>
      <c r="K13" s="48"/>
      <c r="L13" s="48"/>
      <c r="M13" s="48"/>
      <c r="N13" s="48"/>
      <c r="O13" s="48"/>
    </row>
    <row r="14" spans="2:15" ht="15" customHeight="1" x14ac:dyDescent="0.25">
      <c r="B14" s="50"/>
      <c r="C14" s="68"/>
      <c r="D14" s="50"/>
      <c r="E14" s="68"/>
      <c r="F14" s="50"/>
      <c r="J14" s="48"/>
      <c r="K14" s="48"/>
      <c r="L14" s="48"/>
      <c r="M14" s="48"/>
      <c r="N14" s="48"/>
      <c r="O14" s="48"/>
    </row>
    <row r="15" spans="2:15" ht="15" customHeight="1" x14ac:dyDescent="0.25">
      <c r="B15" s="50"/>
      <c r="C15" s="68"/>
      <c r="D15" s="50"/>
      <c r="E15" s="68"/>
      <c r="F15" s="50"/>
      <c r="J15" s="48"/>
      <c r="K15" s="48"/>
      <c r="L15" s="48"/>
      <c r="M15" s="48"/>
      <c r="N15" s="48"/>
      <c r="O15" s="48"/>
    </row>
    <row r="16" spans="2:15" ht="15" customHeight="1" x14ac:dyDescent="0.25">
      <c r="B16" s="50"/>
      <c r="C16" s="68"/>
      <c r="D16" s="50"/>
      <c r="E16" s="68"/>
      <c r="F16" s="50"/>
    </row>
    <row r="17" spans="2:6" ht="15" customHeight="1" x14ac:dyDescent="0.25">
      <c r="B17" s="50"/>
      <c r="C17" s="68"/>
      <c r="D17" s="50"/>
      <c r="E17" s="68"/>
      <c r="F17" s="50"/>
    </row>
    <row r="18" spans="2:6" ht="15" customHeight="1" x14ac:dyDescent="0.25">
      <c r="B18" s="50"/>
      <c r="C18" s="68"/>
      <c r="D18" s="50"/>
      <c r="E18" s="68"/>
      <c r="F18" s="50"/>
    </row>
    <row r="19" spans="2:6" ht="15" customHeight="1" x14ac:dyDescent="0.25"/>
  </sheetData>
  <sheetProtection sheet="1" objects="1" scenarios="1" selectLockedCells="1"/>
  <customSheetViews>
    <customSheetView guid="{2663DDA2-7708-4CC5-8C99-40E6CC122B10}" showGridLines="0" showRowCol="0" hiddenColumns="1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Words</vt:lpstr>
      <vt:lpstr>Options</vt:lpstr>
      <vt:lpstr>Table</vt:lpstr>
      <vt:lpstr>Results</vt:lpstr>
      <vt:lpstr>listWords</vt:lpstr>
      <vt:lpstr>listWordsCase</vt:lpstr>
      <vt:lpstr>listWordsHeaders</vt:lpstr>
      <vt:lpstr>rngOptionsCase</vt:lpstr>
      <vt:lpstr>rngOptionsSize</vt:lpstr>
      <vt:lpstr>rngOptionsWordList</vt:lpstr>
      <vt:lpstr>rngTableGrid</vt:lpstr>
      <vt:lpstr>rngTableWords</vt:lpstr>
      <vt:lpstr>rngWordsCase</vt:lpstr>
      <vt:lpstr>rngWordsCheckBox1</vt:lpstr>
      <vt:lpstr>rngWordsListID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VKK_ISDP13</dc:creator>
  <cp:lastModifiedBy>alius</cp:lastModifiedBy>
  <dcterms:created xsi:type="dcterms:W3CDTF">2014-04-11T16:05:36Z</dcterms:created>
  <dcterms:modified xsi:type="dcterms:W3CDTF">2016-01-01T13:35:12Z</dcterms:modified>
</cp:coreProperties>
</file>